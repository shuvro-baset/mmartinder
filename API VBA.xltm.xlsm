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e307c756d4459b0a/Desktop/"/>
    </mc:Choice>
  </mc:AlternateContent>
  <xr:revisionPtr revIDLastSave="0" documentId="13_ncr:4000b_{449C25A6-ADC5-4FA1-ABF8-01BE98A7E459}" xr6:coauthVersionLast="46" xr6:coauthVersionMax="46" xr10:uidLastSave="{00000000-0000-0000-0000-000000000000}"/>
  <bookViews>
    <workbookView xWindow="-110" yWindow="-110" windowWidth="19420" windowHeight="10420" activeTab="1"/>
  </bookViews>
  <sheets>
    <sheet name="API" sheetId="1" r:id="rId1"/>
    <sheet name="Sheet1" sheetId="2" r:id="rId2"/>
    <sheet name="Sheet2" sheetId="3" r:id="rId3"/>
  </sheets>
  <definedNames>
    <definedName name="Connection1" localSheetId="0">API!$B$2</definedName>
    <definedName name="ExternalData_1" localSheetId="0">API!$B$2</definedName>
    <definedName name="ExternalData_10" localSheetId="0">API!$B$3</definedName>
    <definedName name="ExternalData_11" localSheetId="0">API!$B$4</definedName>
    <definedName name="ExternalData_12" localSheetId="0">API!$B$4</definedName>
    <definedName name="ExternalData_13" localSheetId="0">API!$B$4:$B$5</definedName>
    <definedName name="ExternalData_14" localSheetId="0">API!$B$6</definedName>
    <definedName name="ExternalData_15" localSheetId="0">API!$B$7</definedName>
    <definedName name="ExternalData_16" localSheetId="0">API!$B$7</definedName>
    <definedName name="ExternalData_17" localSheetId="0">API!$B$7</definedName>
    <definedName name="ExternalData_18" localSheetId="0">API!$B$7</definedName>
    <definedName name="ExternalData_19" localSheetId="0">API!$B$7</definedName>
    <definedName name="ExternalData_2" localSheetId="0">API!$B$2</definedName>
    <definedName name="ExternalData_20" localSheetId="0">API!$B$8</definedName>
    <definedName name="ExternalData_3" localSheetId="0">API!$B$2</definedName>
    <definedName name="ExternalData_4" localSheetId="0">API!$B$2</definedName>
    <definedName name="ExternalData_5" localSheetId="0">API!$B$4</definedName>
    <definedName name="ExternalData_6" localSheetId="0">API!$B$3</definedName>
    <definedName name="ExternalData_7" localSheetId="0">API!$B$5</definedName>
    <definedName name="ExternalData_8" localSheetId="0">API!$B$4</definedName>
    <definedName name="ExternalData_9" localSheetId="0">API!$B$4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2" l="1"/>
  <c r="F2" i="2"/>
  <c r="F5" i="2"/>
  <c r="F6" i="2"/>
  <c r="F7" i="2"/>
  <c r="E17" i="2"/>
  <c r="F8" i="2" s="1"/>
  <c r="G5" i="3"/>
  <c r="G4" i="3"/>
</calcChain>
</file>

<file path=xl/connections.xml><?xml version="1.0" encoding="utf-8"?>
<connections xmlns="http://schemas.openxmlformats.org/spreadsheetml/2006/main">
  <connection id="1" name="Connection1" type="4" refreshedVersion="3" deleted="1" background="1" saveData="1">
    <webPr sourceData="1" parsePre="1" consecutive="1" xl2000="1" htmlTables="1">
      <tables count="1">
        <x v="1"/>
      </tables>
    </webPr>
  </connection>
</connections>
</file>

<file path=xl/sharedStrings.xml><?xml version="1.0" encoding="utf-8"?>
<sst xmlns="http://schemas.openxmlformats.org/spreadsheetml/2006/main" count="128" uniqueCount="93">
  <si>
    <t>DE217AP</t>
  </si>
  <si>
    <t>east_midlands</t>
  </si>
  <si>
    <t>Crime</t>
  </si>
  <si>
    <t xml:space="preserve">{"status":"success","radius":"0.40","population":3510,"crimes_last_12m":299,"crimes_per_thousand":85,"crime_rating":"Low crime","types":{"Anti-social behaviour":97,"Violence and sexual offences":79,"Public order":27,"Shoplifting":25,"Criminal damage and arson":17,"Vehicle crime":15,"Other theft":12,"Burglary":8,"Drugs":7,"Other crime":4,"Bicycle theft":4,"Possession of weapons":3,"Robbery":1},"observations":["Incidence of Robbery is below national average","Incidence of Shoplifting is above national average"],"process_time":"0.14"} </t>
  </si>
  <si>
    <t>Demographic</t>
  </si>
  <si>
    <t xml:space="preserve">{"status":"success","postcode":"DE21 7AP","postcode_type":"full","radius":0,"url":"https:\/\/propertydata.co.uk\/draw?input=DE21+7AP","data":{"deprivation":18,"health":50,"social_grade":{"ab":"18.6","c1":"31.5","c2":"26.0","de":"24.0"},"age":{"0-4":"5.46","5-9":"4.74","10-14":"5.57","15-19":"5.73","20-24":"5.54","25-29":"5.12","30-34":"5.40","35-39":"6.48","40-44":"7.25","45-49":"7.36","50-54":"6.52","55-59":"5.88","60-64":"7.43","65-69":"6.77","70-74":"5.69","75-79":"4.27","80-84":"3.09","85-89":"1.70"},"politics":{"results":{"Conservative":"59%","Labour":"28%","Liberal Democrat":"10%","Green":"4%"},"constituences":["Mid Derbyshire"]},"proportion_with_degree":28,"vehicles_per_household":"1.2","commute_method":{"at_home":"3.2","underground_light_rail":"0.1","train":"0.9","bus":"8.7","taxi":"0.4","motorcycle":"1.2","car_driver":"69.3","car_passenger":"5.3","bicycle":"2.6","foot":"7.9","other":"0.4"}},"process_time":"0.03"} </t>
  </si>
  <si>
    <t>Sold Prices</t>
  </si>
  <si>
    <t>{"status":"success","region_used":"east_midlands","result_count":180,"data":[{"outcode":"DE1","avg_price":148609.8,"avg_price_psf":0,"avg_rent":152.7,"avg_yield":"5.3%","growth_1y":"5.3%","growth_3y":"8.4%","growth_5y":"18.2%","sales_per_month":8,"turnover":"2%"},{"outcode":"DE11","avg_price":206184.1,"avg_price_psf":0,"avg_rent":147.7,"avg_yield":"3.7%","growth_1y":"3.7%","growth_3y":"7.7%","growth_5y":"17.8%","sales_per_month":36,"turnover":"11%"},{"outcode":"DE12","avg_price":296688.9,"avg_price_psf":0,"avg_rent":157.7,"avg_yield":"2.8%","growth_1y":"5.5%","growth_3y":"8.3%","growth_5y":"20.7%","sales_per_month":15,"turnover":"9%"},{"outcode":"DE13","avg_price":298443.7,"avg_price_psf":0,"avg_rent":160.5,"avg_yield":"2.8%","growth_1y":"6.4%","growth_3y":"8.2%","growth_5y":"20.4%","sales_per_month":35,"turnover":"10%"},{"outcode":"DE14","avg_price":179163.9,"avg_price_psf":0,"avg_rent":129.1,"avg_yield":"3.7%","growth_1y":"1.8%","growth_3y":"4.5%","growth_5y":"15.9%","sales_per_month":18,"turnover":"6%"},{"outcode":"DE15","avg_price":252644.9,"avg_price_psf":0,"avg_rent":158.7,"avg_yield":"3.3%","growth_1y":"4.7%","growth_3y":"8.7%","growth_5y":"20.0%","sales_per_month":19,"turnover":"8%"},{"outcode":"DE21","avg_price":208308.1,"avg_price_psf":0,"avg_rent":146.7,"avg_yield":"3.7%","growth_1y":"4.3%","growth_3y":"7.5%","growth_5y":"18.4%","sales_per_month":41,"turnover":"15%"},{"outcode":"DE22","avg_price":258622.1,"avg_price_psf":0,"avg_rent":155.6,"avg_yield":"3.1%","growth_1y":"4.5%","growth_3y":"7.0%","growth_5y":"17.8%","sales_per_month":37,"turnover":"7%"},{"outcode":"DE23","avg_price":237470.1,"avg_price_psf":0,"avg_rent":126,"avg_yield":"2.8%","growth_1y":"5.8%","growth_3y":"8.5%","growth_5y":"19.5%","sales_per_month":30,"turnover":"10%"},{"outcode":"DE24","avg_price":166210.6,"avg_price_psf":0,"avg_rent":124.4,"avg_yield":"3.9%","growth_1y":"5.4%","growth_3y":"6.9%","growth_5y":"17.3%","sales_per_month":31,"turnover":"10%"},{"outcode":"DE3","avg_price":281431.3,"avg_price_psf":0,"avg_rent":174.5,"avg_yield":"3.2%","growth_1y":"4.6%","growth_3y":"8.0%","growth_5y":"19.6%","sales_per_month":20,"turnover":"12%"},{"outcode":"DE4","avg_price":294982.2,"avg_price_psf":0,"avg_rent":163.3,"avg_yield":"2.9%","growth_1y":"3.9%","growth_3y":"8.6%","growth_5y":"17.9%","sales_per_month":32,"turnover":"12%"},{"outcode":"DE45","avg_price":395119.5,"avg_price_psf":0,"avg_rent":null,"avg_yield":null,"growth_1y":"5.7%","growth_3y":"8.1%","growth_5y":"19.4%","sales_per_month":9,"turnover":"11%"},{"outcode":"DE5","avg_price":222174.3,"avg_price_psf":0,"avg_rent":138.5,"avg_yield":"3.2%","growth_1y":"3.3%","growth_3y":"7.4%","growth_5y":"16.9%","sales_per_month":20,"turnover":"13%"},{"outcode":"DE55","avg_price":202258.7,"avg_price_psf":0,"avg_rent":123.9,"avg_yield":"3.2%","growth_1y":"5.8%","growth_3y":"8.7%","growth_5y":"20.2%","sales_per_month":44,"turnover":"13%"},{"outcode":"DE56","avg_price":279612.3,"avg_price_psf":0,"avg_rent":158.1,"avg_yield":"2.9%","growth_1y":"7.5%","growth_3y":"8.6%","growth_5y":"20.4%","sales_per_month":39,"turnover":"12%"},{"outcode":"DE6","avg_price":382772.4,"avg_price_psf":0,"avg_rent":182.9,"avg_yield":"2.5%","growth_1y":"6.0%","growth_3y":"8.2%","growth_5y":"18.6%","sales_per_month":21,"turnover":"7%"},{"outcode":"DE65","avg_price":274331.5,"avg_price_psf":0,"avg_rent":162.6,"avg_yield":"3.1%","growth_1y":"4.2%","growth_3y":"5.8%","growth_5y":"16.8%","sales_per_month":19,"turnover":"7%"},{"outcode":"DE7","avg_price":195407.4,"avg_price_psf":0,"avg_rent":143.7,"avg_yield":"3.8%","growth_1y":"5.5%","growth_3y":"10.2%","growth_5y":"19.4%","sales_per_month":41,"turnover":"11%"},{"outcode":"DE72","avg_price":345105.8,"avg_price_psf":0,"avg_rent":181.2,"avg_yield":"2.7%","growth_1y":"4.1%","growth_3y":"7.3%","growth_5y":"17.4%","sales_per_month":17,"turnover":"11%"},{"outcode":"DE73","avg_price":328930.1,"avg_price_psf":0,"avg_rent":179.1,"avg_yield":"2.8%","growth_1y":"4.0%","growth_3y":"6.5%","growth_5y":"15.6%","sales_per_month":14,"turnover":"8%"},{"outcode":"DE74","avg_price":349171.1,"avg_price_psf":0,"avg_rent":306.4,"avg_yield":"4.6%","growth_1y":"6.8%","growth_3y":"8.0%","growth_5y":"18.3%","sales_per_month":13,"turnover":"8%"},{"outcode":"DE75","avg_price":212598.8,"avg_price_psf":0,"avg_rent":123.5,"avg_yield":"3.0%","growth_1y":"4.4%","growth_3y":"8.2%","growth_5y":"18.3%","sales_per_month":13,"turnover":"11%"},{"outcode":"DN1","avg_price":146429.8,"avg_price_psf":0,"avg_rent":103.1,"avg_yield":"3.7%","growth_1y":"7.6%","growth_3y":"11.3%","growth_5y":"18.9%","sales_per_month":4,"turnover":"3%"},{"outcode":"DN10","avg_price":298981.2,"avg_price_psf":0,"avg_rent":null,"avg_yield":null,"growth_1y":"5.7%","growth_3y":"11.1%","growth_5y":"19.7%","sales_per_month":8,"turnover":"6%"},{"outcode":"DN11","avg_price":221079.2,"avg_price_psf":0,"avg_rent":130.4,"avg_yield":"3.1%","growth_1y":"6.5%","growth_3y":"10.8%","growth_5y":"16.1%","sales_per_month":25,"turnover":"14%"},{"outcode":"DN12","avg_price":126232.3,"avg_price_psf":0,"avg_rent":null,"avg_yield":null,"growth_1y":"10.1%","growth_3y":"13.3%","growth_5y":"20.8%","sales_per_month":16,"turnover":"12%"},{"outcode":"DN14","avg_price":245707.9,"avg_price_psf":0,"avg_rent":110.7,"avg_yield":"2.3%","growth_1y":"8.1%","growth_3y":"14.0%","growth_5y":"22.4%","sales_per_month":39,"turnover":"12%"},{"outcode":"DN15","avg_price":162189.3,"avg_price_psf":0,"avg_rent":103.8,"avg_yield":"3.3%","growth_1y":"6.4%","growth_3y":"12.5%","growth_5y":"20.4%","sales_per_month":27,"turnover":"15%"},{"outcode":"DN16","avg_price":131121.7,"avg_price_psf":0,"avg_rent":115.2,"avg_yield":"4.6%","growth_1y":"6.9%","growth_3y":"9.9%","growth_5y":"17.7%","sales_per_month":29,"turnover":"13%"},{"outcode":"DN17","avg_price":179242.9,"avg_price_psf":0,"avg_rent":null,"avg_yield":null,"growth_1y":"7.3%","growth_3y":"13.1%","growth_5y":"22.8%","sales_per_month":26,"turnover":"13%"},{"outcode":"DN18","avg_price":183803.2,"avg_price_psf":0,"avg_rent":null,"avg_yield":null,"growth_1y":"2.9%","growth_3y":"10.6%","growth_5y":"19.9%","sales_per_month":11,"turnover":"10%"},{"outcode":"DN19","avg_price":228098.3,"avg_price_psf":0,"avg_rent":null,"avg_yield":null,"growth_1y":"6.7%","growth_3y":"12.9%","growth_5y":"21.8%","sales_per_month":6,"turnover":"10%"},{"outcode":"DN2","avg_price":169756.3,"avg_price_psf":0,"avg_rent":123.8,"avg_yield":"3.8%","growth_1y":"6.9%","growth_3y":"13.3%","growth_5y":"20.4%","sales_per_month":13,"turnover":"9%"},{"outcode":"DN20","avg_price":235742.3,"avg_price_psf":0,"avg_rent":null,"avg_yield":null,"growth_1y":"5.5%","growth_3y":"12.3%","growth_5y":"21.3%","sales_per_month":22,"turnover":"14%"},{"outcode":"DN21","avg_price":175470.9,"avg_price_psf":0,"avg_rent":107.6,"avg_yield":"3.2%","growth_1y":"6.6%","growth_3y":"12.3%","growth_5y":"21.2%","sales_per_month":29,"turnover":"7%"},{"outcode":"DN22","avg_price":237565.6,"avg_price_psf":0,"avg_rent":127.7,"avg_yield":"2.8%","growth_1y":"6.4%","growth_3y":"10.8%","growth_5y":"18.1%","sales_per_month":33,"turnover":"10%"},{"outcode":"DN3","avg_price":180478.9,"avg_price_psf":0,"avg_rent":null,"avg_yield":null,"growth_1y":"6.2%","growth_3y":"11.6%","growth_5y":"19.6%","sales_per_month":25,"turnover":"14%"},{"outcode":"DN31","avg_price":75665.5,"avg_price_psf":0,"avg_rent":105.6,"avg_yield":"7.3%","growth_1y":"5.0%","growth_3y":"10.2%","growth_5y":"18.8%","sales_per_month":10,"turnover":"7%"},{"outcode":"DN32","avg_price":107402.1,"avg_price_psf":0,"avg_rent":102.8,"avg_yield":"5.0%","growth_1y":"7.5%","growth_3y":"10.5%","growth_5y":"18.7%","sales_per_month":19,"turnover":"5%"},{"outcode":"DN33","avg_price":186744.4,"avg_price_psf":0,"avg_rent":140.2,"avg_yield":"3.9%","growth_1y":"5.1%","growth_3y":"12.0%","growth_5y":"19.8%","sales_per_month":17,"turnover":"11%"},{"outcode":"DN34","avg_price":130126.5,"avg_price_psf":0,"avg_rent":null,"avg_yield":null,"growth_1y":"7.2%","growth_3y":"13.1%","growth_5y":"20.6%","sales_per_month":21,"turnover":"11%"},{"outcode":"DN35","avg_price":140393.2,"avg_price_psf":0,"avg_rent":116,"avg_yield":"4.3%","growth_1y":"8.2%","growth_3y":"12.8%","growth_5y":"21.3%","sales_per_month":31,"turnover":"10%"},{"outcode":"DN36","avg_price":221140.9,"avg_price_psf":0,"avg_rent":null,"avg_yield":null,"growth_1y":"5.2%","growth_3y":"12.3%","growth_5y":"20.4%","sales_per_month":22,"turnover":"9%"},{"outcode":"DN37","avg_price":200665.9,"avg_price_psf":0,"avg_rent":null,"avg_yield":null,"growth_1y":"7.7%","growth_3y":"13.1%","growth_5y":"22.7%","sales_per_month":18,"turnover":"12%"},{"outcode":"DN38","avg_price":281990,"avg_price_psf":0,"avg_rent":null,"avg_yield":null,"growth_1y":"6.8%","growth_3y":"13.0%","growth_5y":"21.8%","sales_per_month":3,"turnover":"13%"},{"outcode":"DN39","avg_price":249046.7,"avg_price_psf":0,"avg_rent":null,"avg_yield":null,"growth_1y":"6.7%","growth_3y":"13.0%","growth_5y":"21.8%","sales_per_month":3,"turnover":"8%"},{"outcode":"DN4","avg_price":167089,"avg_price_psf":0,"avg_rent":118.5,"avg_yield":"3.7%","growth_1y":"9.3%","growth_3y":"11.5%","growth_5y":"18.1%","sales_per_month":51,"turnover":"15%"},{"outcode":"DN40","avg_price":136573.7,"avg_price_psf":0,"avg_rent":null,"avg_yield":null,"growth_1y":"7.3%","growth_3y":"13.6%","growth_5y":"22.4%","sales_per_month":12,"turnover":"10%"},{"outcode":"DN41","avg_price":227245.7,"avg_price_psf":0,"avg_rent":null,"avg_yield":null,"growth_1y":"6.7%","growth_3y":"13.0%","growth_5y":"21.8%","sales_per_month":7,"turnover":"9%"},{"outcode":"DN5","avg_price":158639.2,"avg_price_psf":0,"avg_rent":132.2,"avg_yield":"4.3%","growth_1y":"8.4%","growth_3y":"11.8%","growth_5y":"16.9%","sales_per_month":36,"turnover":"15%"},{"outcode":"DN6","avg_price":162940.2,"avg_price_psf":0,"avg_rent":115.5,"avg_yield":"3.7%","growth_1y":"6.6%","growth_3y":"11.4%","growth_5y":"20.8%","sales_per_month":17,"turnover":"10%"},{"outcode":"DN7","avg_price":193390.7,"avg_price_psf":0,"avg_rent":null,"avg_yield":null,"growth_1y":"7.2%","growth_3y":"12.6%","growth_5y":"19.8%","sales_per_month":15,"turnover":"10%"},{"outcode":"DN8","avg_price":149444.2,"avg_price_psf":0,"avg_rent":null,"avg_yield":null,"growth_1y":"6.5%","growth_3y":"14.9%","growth_5y":"21.8%","sales_per_month":14,"turnover":"12%"},{"outcode":"DN9","avg_price":288535.2,"avg_price_psf":0,"avg_rent":null,"avg_yield":null,"growth_1y":"6.6%","growth_3y":"12.2%","growth_5y":"20.4%","sales_per_month":22,"turnover":"14%"},{"outcode":"LE1","avg_price":125800.6,"avg_price_psf":0,"avg_rent":153.4,"avg_yield":"6.3%","growth_1y":"6.2%","growth_3y":"8.2%","growth_5y":"17.3%","sales_per_month":4,"turnover":"1%"},{"outcode":"LE10","avg_price":247512.5,"avg_price_psf":0,"avg_rent":161.9,"avg_yield":"3.4%","growth_1y":"6.0%","growth_3y":"9.2%","growth_5y":"19.7%","sales_per_month":59,"turnover":"11%"},{"outcode":"LE11","avg_price":226829.3,"avg_price_psf":0,"avg_rent":176.6,"avg_yield":"4.0%","growth_1y":"7.1%","growth_3y":"9.3%","growth_5y":"19.5%","sales_per_month":33,"turnover":"7%"},{"outcode":"LE12","avg_price":267453,"avg_price_psf":0,"avg_rent":170.2,"avg_yield":"3.3%","growth_1y":"6.2%","growth_3y":"9.9%","growth_5y":"19.8%","sales_per_month":60,"turnover":"13%"},{"outcode":"LE13","avg_price":243036.6,"avg_price_psf":0,"avg_rent":143.8,"avg_yield":"3.1%","growth_1y":"8.0%","growth_3y":"9.8%","growth_5y":"20.7%","sales_per_month":26,"turnover":"12%"},{"outcode":"LE14","avg_price":404925.9,"avg_price_psf":0,"avg_rent":191.1,"avg_yield":"2.5%","growth_1y":"6.9%","growth_3y":"9.4%","growth_5y":"19.4%","sales_per_month":14,"turnover":"7%"},{"outcode":"LE15","avg_price":309389,"avg_price_psf":0,"avg_rent":166.2,"avg_yield":"2.8%","growth_1y":"8.1%","growth_3y":"10.6%","growth_5y":"22.7%","sales_per_month":25,"turnover":"8%"},{"outcode":"LE16","avg_price":335170.6,"avg_price_psf":0,"avg_rent":186.6,"avg_yield":"2.9%","growth_1y":"6.6%","growth_3y":"9.6%","growth_5y":"20.3%","sales_per_month":41,"turnover":"10%"},{"outcode":"LE17","avg_price":354146.6,"avg_price_psf":0,"avg_rent":183.4,"avg_yield":"2.7%","growth_1y":"10.2%","growth_3y":"12.7%","growth_5y":"22.6%","sales_per_month":13,"turnover":"5%"},{"outcode":"LE18","avg_price":246512.2,"avg_price_psf":0,"avg_rent":157.4,"avg_yield":"3.3%","growth_1y":"8.6%","growth_3y":"10.9%","growth_5y":"21.8%","sales_per_month":24,"turnover":"9%"},{"outcode":"LE19","avg_price":277584.2,"avg_price_psf":0,"avg_rent":null,"avg_yield":null,"growth_1y":"6.5%","growth_3y":"8.9%","growth_5y":"19.2%","sales_per_month":16,"turnover":"15%"},{"outcode":"LE2","avg_price":252242.9,"avg_price_psf":0,"avg_rent":205,"avg_yield":"4.2%","growth_1y":"6.9%","growth_3y":"10.9%","growth_5y":"20.5%","sales_per_month":56,"turnover":"3%"},{"outcode":"LE3","avg_price":235069.1,"avg_price_psf":0,"avg_rent":203.4,"avg_yield":"4.5%","growth_1y":"7.7%","growth_3y":"11.1%","growth_5y":"21.6%","sales_per_month":57,"turnover":"4%"},{"outcode":"LE4","avg_price":237264.1,"avg_price_psf":0,"avg_rent":173.6,"avg_yield":"3.8%","growth_1y":"6.1%","growth_3y":"9.8%","growth_5y":"22.4%","sales_per_month":41,"turnover":"10%"},{"outcode":"LE5","avg_price":270942.8,"avg_price_psf":0,"avg_rent":178.3,"avg_yield":"3.4%","growth_1y":"6.3%","growth_3y":"9.4%","growth_5y":"21.5%","sales_per_month":32,"turnover":"8%"},{"outcode":"LE6","avg_price":276270,"avg_price_psf":0,"avg_rent":null,"avg_yield":null,"growth_1y":"6.4%","growth_3y":"13.2%","growth_5y":"21.1%","sales_per_month":11,"turnover":"12%"},{"outcode":"LE65","avg_price":330572.2,"avg_price_psf":0,"avg_rent":171.3,"avg_yield":"2.7%","growth_1y":"5.3%","growth_3y":"8.0%","growth_5y":"19.4%","sales_per_month":19,"turnover":"10%"},{"outcode":"LE67","avg_price":276950.6,"avg_price_psf":0,"avg_rent":145.6,"avg_yield":"2.7%","growth_1y":"7.0%","growth_3y":"10.0%","growth_5y":"20.2%","sales_per_month":62,"turnover":"14%"},{"outcode":"LE7","avg_price":327819.1,"avg_price_psf":0,"avg_rent":198.2,"avg_yield":"3.1%","growth_1y":"8.7%","growth_3y":"10.9%","growth_5y":"20.4%","sales_per_month":42,"turnover":"11%"},{"outcode":"LE8","avg_price":296486.1,"avg_price_psf":0,"avg_rent":174.8,"avg_yield":"3.1%","growth_1y":"7.1%","growth_3y":"11.2%","growth_5y":"21.0%","sales_per_month":30,"turnover":"9%"},{"outcode":"LE9","avg_price":269021.8,"avg_price_psf":0,"avg_rent":161.1,"avg_yield":"3.1%","growth_1y":"6.5%","growth_3y":"8.7%","growth_5y":"20.5%","sales_per_month":57,"turnover":"12%"},{"outcode":"LN1","avg_price":252230.7,"avg_price_psf":0,"avg_rent":157.9,"avg_yield":"3.3%","growth_1y":"5.2%","growth_3y":"8.0%","growth_5y":"16.1%","sales_per_month":26,"turnover":"5%"},{"outcode":"LN10","avg_price":307421,"avg_price_psf":0,"avg_rent":null,"avg_yield":null,"growth_1y":"3.9%","growth_3y":"10.6%","growth_5y":"20.1%","sales_per_month":5,"turnover":"7%"},{"outcode":"LN11","avg_price":225429.9,"avg_price_psf":0,"avg_rent":115.7,"avg_yield":"2.7%","growth_1y":"4.6%","growth_3y":"8.0%","growth_5y":"19.8%","sales_per_month":24,"turnover":"6%"},{"outcode":"LN12","avg_price":213254.4,"avg_price_psf":0,"avg_rent":null,"avg_yield":null,"growth_1y":"3.3%","growth_3y":"7.6%","growth_5y":"19.6%","sales_per_month":19,"turnover":"19%"},{"outcode":"LN13","avg_price":240260.4,"avg_price_psf":0,"avg_rent":null,"avg_yield":null,"growth_1y":"5.0%","growth_3y":"11.3%","growth_5y":"22.6%","sales_per_month":8,"turnover":"9%"},{"outcode":"LN2","avg_price":243115.1,"avg_price_psf":0,"avg_rent":142.2,"avg_yield":"3.0%","growth_1y":"3.4%","growth_3y":"7.2%","growth_5y":"15.3%","sales_per_month":27,"turnover":"5%"},{"outcode":"LN3","avg_price":252585.9,"avg_price_psf":0,"avg_rent":null,"avg_yield":null,"growth_1y":"5.0%","growth_3y":"10.0%","growth_5y":"22.2%","sales_per_month":8,"turnover":"7%"},{"outcode":"LN4","avg_price":247274.8,"avg_price_psf":0,"avg_rent":174.5,"avg_yield":"3.7%","growth_1y":"4.4%","growth_3y":"8.8%","growth_5y":"18.5%","sales_per_month":35,"turnover":"9%"},{"outcode":"LN5","avg_price":194489.4,"avg_price_psf":0,"avg_rent":129.8,"avg_yield":"3.5%","growth_1y":"5.1%","growth_3y":"8.3%","growth_5y":"18.2%","sales_per_month":26,"turnover":"5%"},{"outcode":"LN6","avg_price":220177.7,"avg_price_psf":0,"avg_rent":164.3,"avg_yield":"3.9%","growth_1y":"4.3%","growth_3y":"8.3%","growth_5y":"19.9%","sales_per_month":54,"turnover":"9%"},{"outcode":"LN7","avg_price":279693.1,"avg_price_psf":0,"avg_rent":null,"avg_yield":null,"growth_1y":"4.3%","growth_3y":"8.2%","growth_5y":"19.8%","sales_per_month":5,"turnover":"7%"},{"outcode":"LN8","avg_price":282317.8,"avg_price_psf":0,"avg_rent":null,"avg_yield":null,"growth_1y":"4.6%","growth_3y":"9.4%","growth_5y":"20.2%","sales_per_month":19,"turnover":"11%"},{"outcode":"LN9","avg_price":223211.5,"avg_price_psf":0,"avg_rent":null,"avg_yield":null,"growth_1y":"2.4%","growth_3y":"6.2%","growth_5y":"18.1%","sales_per_month":9,"turnover":"8%"},{"outcode":"NG1","avg_price":171248.8,"avg_price_psf":0,"avg_rent":208.5,"avg_yield":"6.3%","growth_1y":"9.9%","growth_3y":"12.3%","growth_5y":"24.1%","sales_per_month":4,"turnover":"%"},{"outcode":"NG10","avg_price":212160.3,"avg_price_psf":0,"avg_rent":143.5,"avg_yield":"3.5%","growth_1y":"8.9%","growth_3y":"12.0%","growth_5y":"24.9%","sales_per_month":39,"turnover":"12%"},{"outcode":"NG11","avg_price":245165.3,"avg_price_psf":0,"avg_rent":182.1,"avg_yield":"3.9%","growth_1y":"10.1%","growth_3y":"10.6%","growth_5y":"25.3%","sales_per_month":22,"turnover":"9%"},{"outcode":"NG12","avg_price":331163.8,"avg_price_psf":0,"avg_rent":211.9,"avg_yield":"3.3%","growth_1y":"10.6%","growth_3y":"12.2%","growth_5y":"26.9%","sales_per_month":32,"turnover":"11%"},{"outcode":"NG13","avg_price":309248.7,"avg_price_psf":0,"avg_rent":null,"avg_yield":null,"growth_1y":"8.2%","growth_3y":"9.8%","growth_5y":"22.8%","sales_per_month":23,"turnover":"11%"},{"outcode":"NG14","avg_price":358199.3,"avg_price_psf":0,"avg_rent":null,"avg_yield":null,"growth_1y":"9.1%","growth_3y":"9.0%","growth_5y":"22.6%","sales_per_month":16,"turnover":"10%"},{"outcode":"NG15","avg_price":223892.2,"avg_price_psf":0,"avg_rent":149.6,"avg_yield":"3.5%","growth_1y":"8.5%","growth_3y":"9.6%","growth_5y":"22.2%","sales_per_month":37,"turnover":"11%"},{"outcode":"NG16","avg_price":203730.2,"avg_price_psf":0,"avg_rent":143.9,"avg_yield":"3.7%","growth_1y":"7.5%","growth_3y":"9.9%","growth_5y":"24.0%","sales_per_month":62,"turnover":"16%"},{"outcode":"NG17","avg_price":181621.4,"avg_price_psf":0,"avg_rent":124.7,"avg_yield":"3.6%","growth_1y":"9.3%","growth_3y":"11.5%","growth_5y":"22.5%","sales_per_month":62,"turnover":"22%"},{"outcode":"NG18","avg_price":230512.3,"avg_price_psf":0,"avg_rent":118.6,"avg_yield":"2.7%","growth_1y":"8.6%","growth_3y":"10.5%","growth_5y":"21.5%","sales_per_month":35,"turnover":"14%"},{"outcode":"NG19","avg_price":173214.2,"avg_price_psf":0,"avg_rent":135.2,"avg_yield":"4.1%","growth_1y":"7.7%","growth_3y":"11.2%","growth_5y":"22.2%","sales_per_month":40,"turnover":"14%"},{"outcode":"NG2","avg_price":288592.4,"avg_price_psf":0,"avg_rent":193.1,"avg_yield":"3.5%","growth_1y":"11.4%","growth_3y":"11.7%","growth_5y":"25.7%","sales_per_month":46,"turnover":"7%"},{"outcode":"NG20","avg_price":163891.5,"avg_price_psf":0,"avg_rent":125.8,"avg_yield":"4.0%","growth_1y":"6.8%","growth_3y":"11.3%","growth_5y":"19.7%","sales_per_month":19,"turnover":"12%"},{"outcode":"NG21","avg_price":204746.7,"avg_price_psf":0,"avg_rent":null,"avg_yield":null,"growth_1y":"9.3%","growth_3y":"11.3%","growth_5y":"25.2%","sales_per_month":20,"turnover":"13%"},{"outcode":"NG22","avg_price":267404.5,"avg_price_psf":0,"avg_rent":null,"avg_yield":null,"growth_1y":"10.9%","growth_3y":"12.0%","growth_5y":"24.3%","sales_per_month":29,"turnover":"15%"},{"outcode":"NG23","avg_price":356744.1,"avg_price_psf":0,"avg_rent":null,"avg_yield":null,"growth_1y":"8.6%","growth_3y":"10.3%","growth_5y":"23.6%","sales_per_month":16,"turnover":"9%"},{"outcode":"NG24","avg_price":188704,"avg_price_psf":0,"avg_rent":137.5,"avg_yield":"3.8%","growth_1y":"9.3%","growth_3y":"10.7%","growth_5y":"24.0%","sales_per_month":32,"turnover":"7%"},{"outcode":"NG25","avg_price":372377.1,"avg_price_psf":0,"avg_rent":null,"avg_yield":null,"growth_1y":"8.5%","growth_3y":"9.3%","growth_5y":"23.7%","sales_per_month":12,"turnover":"9%"},{"outcode":"NG3","avg_price":205076.3,"avg_price_psf":0,"avg_rent":184.4,"avg_yield":"4.7%","growth_1y":"13.0%","growth_3y":"13.2%","growth_5y":"29.0%","sales_per_month":30,"turnover":"7%"},{"outcode":"NG31","avg_price":194698.3,"avg_price_psf":0,"avg_rent":127.5,"avg_yield":"3.4%","growth_1y":"9.1%","growth_3y":"9.9%","growth_5y":"24.2%","sales_per_month":35,"turnover":"8%"},{"outcode":"NG32","avg_price":339433.6,"avg_price_psf":0,"avg_rent":null,"avg_yield":null,"growth_1y":"9.3%","growth_3y":"9.3%","growth_5y":"23.9%","sales_per_month":8,"turnover":"6%"},{"outcode":"NG33","avg_price":371393,"avg_price_psf":0,"avg_rent":null,"avg_yield":null,"growth_1y":"10.3%","growth_3y":"13.8%","growth_5y":"25.5%","sales_per_month":6,"turnover":"6%"},{"outcode":"NG34","avg_price":232129.1,"avg_price_psf":0,"avg_rent":151.3,"avg_yield":"3.4%","growth_1y":"9.4%","growth_3y":"11.5%","growth_5y":"24.7%","sales_per_month":43,"turnover":"11%"},{"outcode":"NG4","avg_price":199718.3,"avg_price_psf":0,"avg_rent":149,"avg_yield":"3.9%","growth_1y":"11.0%","growth_3y":"11.4%","growth_5y":"26.3%","sales_per_month":38,"turnover":"11%"},{"outcode":"NG5","avg_price":191757,"avg_price_psf":0,"avg_rent":151.6,"avg_yield":"4.1%","growth_1y":"10.1%","growth_3y":"12.5%","growth_5y":"23.8%","sales_per_month":72,"turnover":"13%"},{"outcode":"NG6","avg_price":162998.8,"avg_price_psf":0,"avg_rent":154.7,"avg_yield":"4.9%","growth_1y":"11.0%","growth_3y":"11.6%","growth_5y":"25.9%","sales_per_month":17,"turnover":"9%"},{"outcode":"NG7","avg_price":186248.9,"avg_price_psf":0,"avg_rent":203.6,"avg_yield":"5.7%","growth_1y":"7.3%","growth_3y":"9.0%","growth_5y":"21.4%","sales_per_month":14,"turnover":"1%"},{"outcode":"NG8","avg_price":230989.5,"avg_price_psf":0,"avg_rent":199.2,"avg_yield":"4.5%","growth_1y":"9.4%","growth_3y":"12.5%","growth_5y":"26.6%","sales_per_month":38,"turnover":"14%"},{"outcode":"NG9","avg_price":255448.6,"avg_price_psf":0,"avg_rent":187.3,"avg_yield":"3.8%","growth_1y":"10.9%","growth_3y":"13.7%","growth_5y":"25.4%","sales_per_month":52,"turnover":"5%"},{"outcode":"S1","avg_price":119057.6,"avg_price_psf":0,"avg_rent":148,"avg_yield":"6.5%","growth_1y":"5.9%","growth_3y":"9.0%","growth_5y":"19.5%","sales_per_month":3,"turnover":"1%"},{"outcode":"S10","avg_price":256334.1,"avg_price_psf":0,"avg_rent":228.3,"avg_yield":"4.6%","growth_1y":"8.6%","growth_3y":"10.9%","growth_5y":"22.5%","sales_per_month":34,"turnover":"7%"},{"outcode":"S11","avg_price":324446,"avg_price_psf":0,"avg_rent":224,"avg_yield":"3.6%","growth_1y":"6.2%","growth_3y":"7.8%","growth_5y":"18.0%","sales_per_month":32,"turnover":"10%"},{"outcode":"S12","avg_price":159425.8,"avg_price_psf":0,"avg_rent":132.2,"avg_yield":"4.3%","growth_1y":"6.0%","growth_3y":"7.5%","growth_5y":"18.4%","sales_per_month":25,"turnover":"13%"},{"outcode":"S13","avg_price":152732.7,"avg_price_psf":0,"avg_rent":null,"avg_yield":null,"growth_1y":"5.6%","growth_3y":"8.1%","growth_5y":"17.0%","sales_per_month":15,"turnover":"9%"},{"outcode":"S14","avg_price":97500,"avg_price_psf":0,"avg_rent":null,"avg_yield":null,"growth_1y":"6.4%","growth_3y":"7.2%","growth_5y":"17.3%","sales_per_month":3,"turnover":"12%"},{"outcode":"S17","avg_price":392685.2,"avg_price_psf":0,"avg_rent":null,"avg_yield":null,"growth_1y":"5.4%","growth_3y":"7.4%","growth_5y":"18.9%","sales_per_month":12,"turnover":"10%"},{"outcode":"S18","avg_price":286339.3,"avg_price_psf":0,"avg_rent":165.3,"avg_yield":"3.0%","growth_1y":"6.5%","growth_3y":"7.4%","growth_5y":"18.6%","sales_per_month":19,"turnover":"11%"},{"outcode":"S2","avg_price":129754.3,"avg_price_psf":0,"avg_rent":135.4,"avg_yield":"5.4%","growth_1y":"5.5%","growth_3y":"7.7%","growth_5y":"17.3%","sales_per_month":18,"turnover":"5%"},{"outcode":"S20","avg_price":181610.4,"avg_price_psf":0,"avg_rent":149,"avg_yield":"4.3%","growth_1y":"5.7%","growth_3y":"7.7%","growth_5y":"17.9%","sales_per_month":22,"turnover":"10%"},{"outcode":"S21","avg_price":193123.6,"avg_price_psf":0,"avg_rent":null,"avg_yield":null,"growth_1y":"4.6%","growth_3y":"8.0%","growth_5y":"18.0%","sales_per_month":14,"turnover":"9%"},{"outcode":"S25","avg_price":210583,"avg_price_psf":0,"avg_rent":null,"avg_yield":null,"growth_1y":"8.6%","growth_3y":"7.8%","growth_5y":"20.0%","sales_per_month":19,"turnover":"11%"},{"outcode":"S26","avg_price":213514.9,"avg_price_psf":0,"avg_rent":null,"avg_yield":null,"growth_1y":"5.2%","growth_3y":"8.0%","growth_5y":"16.8%","sales_per_month":22,"turnover":"12%"},{"outcode":"S3","avg_price":118356.8,"avg_price_psf":0,"avg_rent":146.3,"avg_yield":"6.4%","growth_1y":"8.0%","growth_3y":"10.3%","growth_5y":"20.8%","sales_per_month":5,"turnover":"2%"},{"outcode":"S32","avg_price":373886.1,"avg_price_psf":0,"avg_rent":null,"avg_yield":null,"growth_1y":"6.3%","growth_3y":"7.4%","growth_5y":"17.5%","sales_per_month":8,"turnover":"21%"},{"outcode":"S33","avg_price":335786.8,"avg_price_psf":0,"avg_rent":null,"avg_yield":null,"growth_1y":"6.6%","growth_3y":"7.5%","growth_5y":"17.6%","sales_per_month":4,"turnover":"12%"},{"outcode":"S35","avg_price":220434.4,"avg_price_psf":0,"avg_rent":133.2,"avg_yield":"3.1%","growth_1y":"6.0%","growth_3y":"7.4%","growth_5y":"16.7%","sales_per_month":28,"turnover":"12%"},{"outcode":"S36","avg_price":237011.6,"avg_price_psf":0,"avg_rent":139,"avg_yield":"3.0%","growth_1y":"5.4%","growth_3y":"7.7%","growth_5y":"18.9%","sales_per_month":26,"turnover":"13%"},{"outcode":"S4","avg_price":88750,"avg_price_psf":0,"avg_rent":null,"avg_yield":null,"growth_1y":"6.1%","growth_3y":"7.4%","growth_5y":"17.1%","sales_per_month":4,"turnover":"9%"},{"outcode":"S40","avg_price":213871.2,"avg_price_psf":0,"avg_rent":136.1,"avg_yield":"3.3%","growth_1y":"5.9%","growth_3y":"8.5%","growth_5y":"18.0%","sales_per_month":34,"turnover":"13%"},{"outcode":"S41","avg_price":193185.6,"avg_price_psf":0,"avg_rent":130.7,"avg_yield":"3.5%","growth_1y":"4.0%","growth_3y":"6.1%","growth_5y":"16.2%","sales_per_month":32,"turnover":"11%"},{"outcode":"S42","avg_price":266784.2,"avg_price_psf":0,"avg_rent":null,"avg_yield":null,"growth_1y":"5.9%","growth_3y":"7.8%","growth_5y":"18.3%","sales_per_month":28,"turnover":"11%"},{"outcode":"S43","avg_price":190974.1,"avg_price_psf":0,"avg_rent":139.8,"avg_yield":"3.8%","growth_1y":"6.1%","growth_3y":"7.6%","growth_5y":"18.2%","sales_per_month":32,"turnover":"10%"},{"outcode":"S44","avg_price":200124.2,"avg_price_psf":0,"avg_rent":null,"avg_yield":null,"growth_1y":"5.6%","growth_3y":"6.6%","growth_5y":"17.4%","sales_per_month":17,"turnover":"9%"},{"outcode":"S45","avg_price":235465,"avg_price_psf":0,"avg_rent":null,"avg_yield":null,"growth_1y":"6.6%","growth_3y":"7.5%","growth_5y":"17.7%","sales_per_month":9,"turnover":"5%"},{"outcode":"S5","avg_price":133171.5,"avg_price_psf":0,"avg_rent":122.2,"avg_yield":"4.8%","growth_1y":"4.9%","growth_3y":"7.0%","growth_5y":"15.2%","sales_per_month":18,"turnover":"10%"},{"outcode":"S6","avg_price":178258,"avg_price_psf":0,"avg_rent":152.2,"avg_yield":"4.4%","growth_1y":"6.5%","growth_3y":"10.9%","growth_5y":"20.0%","sales_per_month":47,"turnover":"11%"},{"outcode":"S60","avg_price":208708.2,"avg_price_psf":0,"avg_rent":121,"avg_yield":"3.0%","growth_1y":"5.0%","growth_3y":"6.7%","growth_5y":"17.9%","sales_per_month":30,"turnover":"10%"},{"outcode":"S61","avg_price":138650.5,"avg_price_psf":0,"avg_rent":119.2,"avg_yield":"4.5%","growth_1y":"4.9%","growth_3y":"6.8%","growth_5y":"16.9%","sales_per_month":22,"turnover":"11%"},{"outcode":"S62","avg_price":129997.8,"avg_price_psf":0,"avg_rent":null,"avg_yield":null,"growth_1y":"5.8%","growth_3y":"9.5%","growth_5y":"20.1%","sales_per_month":14,"turnover":"12%"},{"outcode":"S63","avg_price":133873.2,"avg_price_psf":0,"avg_rent":116.2,"avg_yield":"4.5%","growth_1y":"6.4%","growth_3y":"10.4%","growth_5y":"18.7%","sales_per_month":34,"turnover":"13%"},{"outcode":"S64","avg_price":146369.8,"avg_price_psf":0,"avg_rent":107.4,"avg_yield":"3.8%","growth_1y":"3.9%","growth_3y":"5.0%","growth_5y":"13.1%","sales_per_month":27,"turnover":"13%"},{"outcode":"S65","avg_price":165451.1,"avg_price_psf":0,"avg_rent":102.8,"avg_yield":"3.2%","growth_1y":"6.9%","growth_3y":"7.6%","growth_5y":"16.5%","sales_per_month":18,"turnover":"10%"},{"outcode":"S66","avg_price":205422.1,"avg_price_psf":0,"avg_rent":121.5,"avg_yield":"3.1%","growth_1y":"5.3%","growth_3y":"9.4%","growth_5y":"17.8%","sales_per_month":35,"turnover":"14%"},{"outcode":"S7","avg_price":288960.9,"avg_price_psf":0,"avg_rent":165.9,"avg_yield":"3.0%","growth_1y":"4.6%","growth_3y":"5.3%","growth_5y":"18.8%","sales_per_month":9,"turnover":"7%"},{"outcode":"S70","avg_price":120822.3,"avg_price_psf":0,"avg_rent":104,"avg_yield":"4.5%","growth_1y":"5.9%","growth_3y":"7.3%","growth_5y":"16.7%","sales_per_month":27,"turnover":"9%"},{"outcode":"S71","avg_price":165345.8,"avg_price_psf":0,"avg_rent":114.2,"avg_yield":"3.6%","growth_1y":"6.2%","growth_3y":"7.2%","growth_5y":"17.7%","sales_per_month":35,"turnover":"15%"},{"outcode":"S72","avg_price":149373,"avg_price_psf":0,"avg_rent":null,"avg_yield":null,"growth_1y":"5.4%","growth_3y":"8.5%","growth_5y":"18.5%","sales_per_month":13,"turnover":"8%"},{"outcode":"S73","avg_price":149980.4,"avg_price_psf":0,"avg_rent":104.5,"avg_yield":"3.6%","growth_1y":"4.9%","growth_3y":"6.7%","growth_5y":"17.6%","sales_per_month":21,"turnover":"11%"},{"outcode":"S74","avg_price":144020.5,"avg_price_psf":0,"avg_rent":null,"avg_yield":null,"growth_1y":"6.4%","growth_3y":"7.4%","growth_5y":"17.3%","sales_per_month":14,"turnover":"13%"},{"outcode":"S75","avg_price":208939.1,"avg_price_psf":0,"avg_rent":135.9,"avg_yield":"3.4%","growth_1y":"5.0%","growth_3y":"8.4%","growth_5y":"17.7%","sales_per_month":41,"turnover":"12%"},{"outcode":"S8","avg_price":207266.4,"avg_price_psf":0,"avg_rent":144.9,"avg_yield":"3.6%","growth_1y":"5.0%","growth_3y":"9.2%","growth_5y":"18.9%","sales_per_month":33,"turnover":"12%"},{"outcode":"S80","avg_price":155618.9,"avg_price_psf":0,"avg_rent":106.9,"avg_yield":"3.6%","growth_1y":"6.3%","growth_3y":"7.5%","growth_5y":"18.6%","sales_per_month":21,"turnover":"8%"},{"outcode":"S81","avg_price":227333.8,"avg_price_psf":0,"avg_rent":161,"avg_yield":"3.7%","growth_1y":"4.9%","growth_3y":"7.7%","growth_5y":"16.6%","sales_per_month":37,"turnover":"15%"},{"outcode":"S9","avg_price":119998.9,"avg_price_psf":0,"avg_rent":null,"avg_yield":null,"growth_1y":"4.5%","growth_3y":"9.1%","growth_5y":"18.4%","sales_per_month":14,"turnover":"14%"},{"outcode":"DE99","avg_price":null,"avg_price_psf":0,"avg_rent":null,"avg_yield":null,"growth_1y":null,"growth_3y":null,"growth_5y":null,"sales_per_month":null,"turnover":"%"},{"outcode":"DN55","avg_price":null,"avg_price_psf":0,"avg_rent":null,"avg_yield":null,"growth_1y":null,"growth_3y":null,"growth_5y":null,"sales_per_month":null,"turnover":"%"},{"outcode":"LE21","avg_price":null,"avg_price_psf":0,"avg_rent":null,"avg_yield":null,"growth_1y":null,"growth_3y":null,"growth_5y":null,"sales_per_month":null,"turnover":"%"},{"outcode":"LE41","avg_price":null,"avg_price_psf":0,"avg_rent":null,"avg_yield":null,"growth_1y":null,"growth_3y":null,"growth_5y":null,"sales_per_month":null,"turnover":"%"},{"outcode":"LE55","avg_price":null,"avg_price_psf":0,"avg_rent":null,"avg_yield":null,"growth_1y":null,"growth_3y":null,"growth_5y":null,"sales_per_month":null,"turnover":"%"},{"outcode":"LE87","avg_price":null,"avg_price_psf":0,"avg_rent":null,"avg_yield":null,"growth_1y":null,"growth_3y":null,"growth_5y":null,"sales_per_month":null,"turnover":"%"},{"outcode":"LE94","avg_price":null,"avg_price_psf":0,"avg_rent":null,"avg_yield":null,"growth_1y":null,"growth_3y":null,"growth_5y":null,"sales_per_month":null,"turnover":"%"},{"outcode":"LE95","avg_price":null,"avg_price_psf":0,"avg_rent":null,"avg_yield":null,"growth_1y":null,"growth_3y":null,"growth_5y":null,"sales_per_month":null,"turnover":"%"},{"outcode":"NG70","avg_price":null,"avg_price_psf":0,"avg_rent":null,"avg_yield":null,"growth_1y":null,"growth_3y":null,"growth_5y":null,"sales_per_month":null,"turnover":"%"},{"outcode":"NG80","avg_price":null,"avg_price_psf":0,"avg_rent":null,"avg_yield":null,"growth_1y":null,"growth_3y":null,"growth_5y":null,"sales_per_month":null,"turnover":"%"},{"outcode":"NG90","avg_price":null,"avg_price_psf":0,"avg_rent":null,"avg_yield":null,"growth_1y":null,"growth_3y":null,"growth_5y":null,"sales_per_month":null,"turnover":"%"},{"outcode":"S49","avg_price":null,"avg_price_psf":0,"avg_rent":null,"avg_yield":null,"growth</t>
  </si>
  <si>
    <t>Regional Prices</t>
  </si>
  <si>
    <t xml:space="preserve">_1y":null,"growth_3y":null,"growth_5y":null,"sales_per_month":null,"turnover":"%"},{"outcode":"S96","avg_price":null,"avg_price_psf":0,"avg_rent":null,"avg_yield":null,"growth_1y":null,"growth_3y":null,"growth_5y":null,"sales_per_month":null,"turnover":"%"},{"outcode":"S97","avg_price":null,"avg_price_psf":0,"avg_rent":null,"avg_yield":null,"growth_1y":null,"growth_3y":null,"growth_5y":null,"sales_per_month":null,"turnover":"%"},{"outcode":"S98","avg_price":null,"avg_price_psf":0,"avg_rent":null,"avg_yield":null,"growth_1y":null,"growth_3y":null,"growth_5y":null,"sales_per_month":null,"turnover":"%"},{"outcode":"S99","avg_price":null,"avg_price_psf":0,"avg_rent":null,"avg_yield":null,"growth_1y":null,"growth_3y":null,"growth_5y":null,"sales_per_month":null,"turnover":"%"},{"outcode":"S95","avg_price":null,"avg_price_psf":0,"avg_rent":null,"avg_yield":null,"growth_1y":null,"growth_3y":null,"growth_5y":null,"sales_per_month":null,"turnover":"%"}],"process_time":"0.13"} </t>
  </si>
  <si>
    <t>post code key stats</t>
  </si>
  <si>
    <t xml:space="preserve">{"status":"success","postcode":"DE21 7AP","postcode_type":"full","url":"https:\/\/propertydata.co.uk\/draw?input=DE21+7AP","type":"flat","max_age":12,"data":{"points_analysed":20,"radius":"2.48","date_earliest":"2020-02-28","date_latest":"2020-10-30","average":89075,"70pc_range":[65000,110000],"80pc_range":[63000,119000],"90pc_range":[52000,137500],"100pc_range":[40000,170000],"raw_data":[{"date":"2020-06-26","address":"14, Chapel Side, Spondon, DE21 7JQ","price":110000,"lat":"52.92176840","lng":"-1.40467280","bedrooms":null,"type":"flat","tenure":"leasehold","class":"old_stock","distance":"0.24"},{"date":"2020-05-29","address":"31, Courtyard Place, Spondon, DE21 7BJ","price":101500,"lat":"52.92053200","lng":"-1.40192330","bedrooms":1,"type":"flat","tenure":"leasehold","class":"old_stock","distance":"0.36"},{"date":"2020-03-20","address":"61, Lexington Road, Chaddesden, DE21 6UY","price":81250,"lat":"52.92473070","lng":"-1.42071670","bedrooms":null,"type":"flat","tenure":"leasehold","class":"old_stock","distance":"0.61"},{"date":"2020-06-12","address":"84, Lexington Road, Chaddesden, DE21 6UZ","price":99000,"lat":"52.92323700","lng":"-1.42244970","bedrooms":2,"type":"flat","tenure":"leasehold","class":"old_stock","distance":"0.69"},{"date":"2020-03-23","address":"116, Flat 5, Nottingham Road, Spondon, DE21 7NP","price":106500,"lat":"52.91481210","lng":"-1.40951180","bedrooms":null,"type":"flat","tenure":"leasehold","class":"old_stock","distance":"0.73"},{"date":"2020-09-25","address":"42, Peckerdale Gardens, Spondon, DE21 7SX","price":98000,"lat":"52.91189300","lng":"-1.40187870","bedrooms":2,"type":"flat","tenure":"leasehold","class":"old_stock","distance":"0.93"},{"date":"2020-08-24","address":"27, Peckerdale Gardens, Spondon, DE21 7SX","price":105000,"lat":"52.91189300","lng":"-1.40187870","bedrooms":2,"type":"flat","tenure":"leasehold","class":"old_stock","distance":"0.93"},{"date":"2020-06-26","address":"61, Peckerdale Gardens, Spondon, DE21 7SX","price":92000,"lat":"52.91164290","lng":"-1.40161850","bedrooms":2,"type":"flat","tenure":"leasehold","class":"old_stock","distance":"0.95"},{"date":"2020-07-31","address":"30, Danebridge Crescent, Oakwood, DE21 2BD","price":52000,"lat":"52.93999010","lng":"-1.43040320","bedrooms":null,"type":"flat","tenure":"leasehold","class":"old_stock","distance":"1.44"},{"date":"2020-10-30","address":"Brookview Court, 20, Nottingham Road, Borrowash, DE72 3XF","price":65000,"lat":"52.90600670","lng":"-1.38002240","bedrooms":null,"type":"flat","tenure":"leasehold","class":"old_stock","distance":"1.71"},{"date":"2020-10-21","address":"2, Brailsford Road, Chaddesden, DE21 4JB","price":170000,"lat":"52.93731650","lng":"-1.44390740","bedrooms":3,"type":"flat","tenure":"freehold","class":"old_stock","distance":"1.78"},{"date":"2020-06-30","address":"68, Coral Close, DE24 1AP","price":119000,"lat":"52.90769260","lng":"-1.44734110","bedrooms":null,"type":"flat","tenure":"leasehold","class":"old_stock","distance":"2.10"},{"date":"2020-08-28","address":"54, Magellan Way, DE24 1AD","price":100000,"lat":"52.90617750","lng":"-1.44620730","bedrooms":null,"type":"flat","tenure":"leasehold","class":"old_stock","distance":"2.12"},{"date":"2020-09-24","address":"8, Lothian Place, DE21 6BG","price":68000,"lat":"52.92915100","lng":"-1.45761060","bedrooms":null,"type":"flat","tenure":"leasehold","class":"old_stock","distance":"2.16"},{"date":"2020-09-29","address":"78a, Vestry Road, Oakwood, DE21 2BN","price":76000,"lat":"52.94782100","lng":"-1.44543520","bedrooms":2,"type":"flat","tenure":"leasehold","class":"old_stock","distance":"2.27"},{"date":"2020-10-30","address":"9, Whernside Close, Alvaston, DE24 0RN","price":65000,"lat":"52.89228430","lng":"-1.41398000","bedrooms":1,"type":"flat","tenure":"leasehold","class":"old_stock","distance":"2.29"},{"date":"2020-10-02","address":"5, Mondello Drive, Alvaston, DE24 0SN","price":63000,"lat":"52.89108700","lng":"-1.41594580","bedrooms":2,"type":"flat","tenure":"leasehold","class":"old_stock","distance":"2.39"},{"date":"2020-03-12","address":"34, Alwards Court, Alvaston, DE24 0FB","price":70000,"lat":"52.89300930","lng":"-1.43117380","bedrooms":null,"type":"flat","tenure":"leasehold","class":"old_stock","distance":"2.45"},{"date":"2020-09-30","address":"45, Mondello Drive, Alvaston, DE24 0SN","price":40000,"lat":"52.88995160","lng":"-1.41654700","bedrooms":null,"type":"flat","tenure":"leasehold","class":"old_stock","distance":"2.47"},{"date":"2020-02-28","address":"Nightingale Mews, 23, Calvert Street, DE1 2RT","price":137500,"lat":"52.91829490","lng":"-1.46446620","bedrooms":null,"type":"flat","tenure":"leasehold","class":"old_stock","distance":"2.48"}]},"process_time":"1.44"} </t>
  </si>
  <si>
    <t>Title</t>
  </si>
  <si>
    <t xml:space="preserve">{"status":"success","postcode":"DE21 7AP","postcode_type":"full","url":"https:\/\/propertydata.co.uk\/plot-map?input=DE21+7AP","data":[{"title_number":"DY65635","class":"Absolute freehold title","num_polygons":2,"polygons":[{"id":28039629,"lat":"52.92474894","lng":"-1.40702539","distance":"0.02","num_points":10,"leaseholds":0},{"id":28046473,"lat":"52.92508792","lng":"-1.40655735","distance":"0.02","num_points":27,"leaseholds":0}]},{"title_number":"DY107009","class":"Absolute freehold title","num_polygons":1,"polygons":[{"id":28047564,"lat":"52.92539060","lng":"-1.40653851","distance":"0.02","num_points":29,"leaseholds":0}]},{"title_number":"DY14405","class":"Absolute freehold title","num_polygons":1,"polygons":[{"id":28045907,"lat":"52.92492438","lng":"-1.40655906","distance":"0.02","num_points":27,"leaseholds":0}]},{"title_number":"DY23388","class":"Absolute freehold title","num_polygons":1,"polygons":[{"id":28046138,"lat":"52.92497312","lng":"-1.40655007","distance":"0.02","num_points":25,"leaseholds":0}]},{"title_number":"DY21641","class":"Absolute freehold title","num_polygons":1,"polygons":[{"id":28046880,"lat":"52.92514918","lng":"-1.40652680","distance":"0.02","num_points":26,"leaseholds":0}]},{"title_number":"DY159159","class":"Absolute freehold title","num_polygons":1,"polygons":[{"id":28047116,"lat":"52.92528483","lng":"-1.40659955","distance":"0.02","num_points":28,"leaseholds":0}]},{"title_number":"DY78354","class":"Absolute freehold title","num_polygons":1,"polygons":[{"id":28046327,"lat":"52.92495581","lng":"-1.40679406","distance":"0.03","num_points":48,"leaseholds":0}]},{"title_number":"DY454139","class":"Absolute freehold title","num_polygons":1,"polygons":[{"id":47851265,"lat":"52.92502277","lng":"-1.40536993","distance":"0.03","num_points":13,"leaseholds":0}]},{"title_number":"DY16885","class":"Absolute freehold title","num_polygons":1,"polygons":[{"id":28045740,"lat":"52.92480208","lng":"-1.40651741","distance":"0.03","num_points":33,"leaseholds":0}]},{"title_number":"DY506576","class":"Absolute freehold title","num_polygons":1,"polygons":[{"id":58164674,"lat":"52.92478026","lng":"-1.40634061","distance":"0.03","num_points":29,"leaseholds":0}]},{"title_number":"DY65427","class":"Absolute freehold title","num_polygons":1,"polygons":[{"id":28041065,"lat":"52.92521973","lng":"-1.40689089","distance":"0.03","num_points":15,"leaseholds":0}]},{"title_number":"DY13987","class":"Absolute freehold title","num_polygons":1,"polygons":[{"id":28052058,"lat":"52.92476562","lng":"-1.40573236","distance":"0.03","num_points":19,"leaseholds":0}]},{"title_number":"DY76107","class":"Absolute freehold title","num_polygons":1,"polygons":[{"id":47851292,"lat":"52.92486898","lng":"-1.40553943","distance":"0.03","num_points":10,"leaseholds":0}]},{"title_number":"DY238440","class":"Absolute freehold title","num_polygons":1,"polygons":[{"id":28047970,"lat":"52.92551998","lng":"-1.40652976","distance":"0.03","num_points":30,"leaseholds":0}]},{"title_number":"DY7023","class":"Absolute freehold title","num_polygons":1,"polygons":[{"id":28048788,"lat":"52.92576346","lng":"-1.40636290","distance":"0.04","num_points":20,"leaseholds":0}]},{"title_number":"DY432304","class":"Absolute freehold title","num_polygons":1,"polygons":[{"id":28056566,"lat":"52.92506969","lng":"-1.40524534","distance":"0.04","num_points":12,"leaseholds":0}]},{"title_number":"DY82994","class":"Absolute freehold title","num_polygons":1,"polygons":[{"id":28048386,"lat":"52.92562781","lng":"-1.40648789","distance":"0.04","num_points":32,"leaseholds":0}]},{"title_number":"DY283752","class":"Absolute freehold title","num_polygons":1,"polygons":[{"id":28050276,"lat":"52.92455664","lng":"-1.40575959","distance":"0.04","num_points":12,"leaseholds":0}]},{"title_number":"DY9902","class":"Absolute freehold title","num_polygons":1,"polygons":[{"id":28039479,"lat":"52.92521288","lng":"-1.40719101","distance":"0.04","num_points":15,"leaseholds":0}]},{"title_number":"DY373852","class":"Absolute freehold title","num_polygons":1,"polygons":[{"id":28045139,"lat":"52.92470714","lng":"-1.40668265","distance":"0.04","num_points":19,"leaseholds":0}]},{"title_number":"DY10575","class":"Absolute freehold title","num_polygons":1,"polygons":[{"id":28039625,"lat":"52.92528068","lng":"-1.40717921","distance":"0.04","num_points":10,"leaseholds":0}]},{"title_number":"DY10678","class":"Absolute freehold title","num_polygons":1,"polygons":[{"id":28039694,"lat":"52.92532479","lng":"-1.40717363","distance":"0.04","num_points":10,"leaseholds":0}]},{"title_number":"DY68590","class":"Absolute freehold title","num_polygons":1,"polygons":[{"id":28039964,"lat":"52.92486719","lng":"-1.40698598","distance":"0.04","num_points":9,"leaseholds":0}]},{"title_number":"DY21730","class":"Absolute freehold title","num_polygons":1,"polygons":[{"id":28044688,"lat":"52.92460130","lng":"-1.40664837","distance":"0.04","num_points":23,"leaseholds":0}]},{"title_number":"DY321152","class":"Absolute freehold title","num_polygons":1,"polygons":[{"id":28055173,"lat":"52.92465260","lng":"-1.40516357","distance":"0.05","num_points":30,"leaseholds":0}]},{"title_number":"DY7851","class":"Absolute freehold title","num_polygons":1,"polygons":[{"id":28055370,"lat":"52.92462955","lng":"-1.40537865","distance":"0.05","num_points":54,"leaseholds":0}]},{"title_number":"DY122892","class":"Absolute freehold title","num_polygons":1,"polygons":[{"id":28044551,"lat":"52.92455339","lng":"-1.40669902","distance":"0.05","num_points":22,"leaseholds":0}]},{"title_number":"DY10014","class":"Absolute freehold title","num_polygons":1,"polygons":[{"id":28038778,"lat":"52.92483478","lng":"-1.40732083","distance":"0.05","num_points":14,"leaseholds":0}]},{"title_number":"DY470238","class":"Absolute freehold title","num_polygons":1,"polygons":[{"id":54566276,"lat":"52.92448944","lng":"-1.40670569","distance":"0.05","num_points":23,"leaseholds":0}]},{"title_number":"DY284079","class":"Absolute freehold title","num_polygons":1,"polygons":[{"id":28053353,"lat":"52.92448324","lng":"-1.40539295","distance":"0.05","num_points":10,"leaseholds":0}]},{"title_number":"DY10690","class":"Absolute freehold title","num_polygons":1,"polygons":[{"id":28039086,"lat":"52.92507987","lng":"-1.40729025","distance":"0.05","num_points":15,"leaseholds":0}]},{"title_number":"DY9051","class":"Absolute freehold title","num_polygons":1,"polygons":[{"id":28038868,"lat":"52.92499561","lng":"-1.40729152","distance":"0.05","num_points":12,"leaseholds":0}]},{"title_number":"DY11343","class":"Absolute freehold title","num_polygons":1,"polygons":[{"id":28044194,"lat":"52.92445301","lng":"-1.40679906","distance":"0.05","num_points":19,"leaseholds":0}]},{"title_number":"DY10508","class":"Absolute freehold title","num_polygons":1,"polygons":[{"id":28039294,"lat":"52.92514659","lng":"-1.40723698","distance":"0.05","num_points":15,"leaseholds":0}]},{"title_number":"DY1659","class":"Absolute freehold title","num_polygons":1,"polygons":[{"id":28057640,"lat":"52.92535862","lng":"-1.40508336","distance":"0.05","num_points":13,"leaseholds":0}]},{"title_number":"DY9784","class":"Absolute freehold title","num_polygons":1,"polygons":[{"id":28039884,"lat":"52.92536697","lng":"-1.40715169","distance":"0.05","num_points":14,"leaseholds":0}]},{"title_number":"DY9265","class":"Absolute freehold title","num_polygons":1,"polygons":[{"id":28040119,"lat":"52.92543112","lng":"-1.40714756","distance":"0.05","num_points":16,"leaseholds":0}]},{"title_number":"DY1660","class":"Absolute freehold title","num_polygons":1,"polygons":[{"id":28057629,"lat":"52.92550438","lng":"-1.40502024","distance":"0.05","num_points":20,"leaseholds":0}]},{"title_number":"DY10012","class":"Absolute freehold title","num_polygons":1,"polygons":[{"id":28040259,"lat":"52.92550599","lng":"-1.40711309","distance":"0.05","num_points":18,"leaseholds":0}]},{"title_number":"DY9860","class":"Absolute freehold title","num_polygons":1,"polygons":[{"id":28040278,"lat":"52.92555251","lng":"-1.40717878","distance":"0.05","num_points":12,"leaseholds":0}]}],"process_time":"0.77"} </t>
  </si>
  <si>
    <t>Schools</t>
  </si>
  <si>
    <t xml:space="preserve">{"status":"success","postcode":"DE21 7AP","postcode_type":"full","url":"https:\/\/propertydata.co.uk\/draw?input=DE21+7AP","data":{"state":{"average_score":"2.35","rating":"Average schools","nearest":[{"name":"Springfield Primary School","local_authority":"Derby","postcode":"DE21 7AB","type":"Academy Converter","phase":"Primary","sixth_form":"Does not have a sixth form","rating":"Good","num_pupils":300,"deprivation":"3","inspection_start":"2013-10-03","inspection_end":"2013-10-04","inspection_pub":"2013-10-23","url":"http:\/\/www.ofsted.gov.uk\/inspection-reports\/find-inspection-report\/provider\/ELS\/146839","distance":"0.27"},{"name":"St Werburgh's CofE Primary School","local_authority":"Derby","postcode":"DE21 7LL","type":"Academy Converter","phase":"Primary","sixth_form":"Does not have a sixth form","rating":"Good","num_pupils":313,"deprivation":"2","inspection_start":"2013-11-26","inspection_end":"2013-11-27","inspection_pub":"2013-12-18","url":"http:\/\/www.ofsted.gov.uk\/inspection-reports\/find-inspection-report\/provider\/ELS\/147490","distance":"0.33"},{"name":"West Park School","local_authority":"Derby","postcode":"DE21 7BT","type":"Academy Converter","phase":"Secondary","sixth_form":"Does not have a sixth form","rating":"Good","num_pupils":1321,"deprivation":"2","inspection_start":"2016-04-26","inspection_end":"2016-04-27","inspection_pub":"2016-05-20","url":"http:\/\/www.ofsted.gov.uk\/inspection-reports\/find-inspection-report\/provider\/ELS\/136634","distance":"0.36"},{"name":"Borrow Wood Primary School","local_authority":"Derby","postcode":"DE21 7QW","type":"Academy Converter","phase":"Primary","sixth_form":"Does not have a sixth form","rating":"Requires improvement","num_pupils":394,"deprivation":"2","inspection_start":"2017-03-08","inspection_end":"2017-03-09","inspection_pub":"2017-03-27","url":"http:\/\/www.ofsted.gov.uk\/inspection-reports\/find-inspection-report\/provider\/ELS\/146847","distance":"0.51"},{"name":"Chaddesden Park Primary School","local_authority":"Derby","postcode":"DE21 6JW","type":"Academy Converter","phase":"Primary","sixth_form":"Does not have a sixth form","rating":"Good","num_pupils":388,"deprivation":"4","inspection_start":"2015-12-02","inspection_end":"2015-12-03","inspection_pub":"2016-01-06","url":"http:\/\/www.ofsted.gov.uk\/inspection-reports\/find-inspection-report\/provider\/ELS\/145592","distance":"0.79"}]},"independent":{"nearest":[{"id":354,"url":"http:\/\/www.emmanuelschoolderby.org.uk\/","name":"Emmanuel School","lat":"52.93017710","lng":"-1.48582240","postcode":"DE22 1FP","type":"Day","ages":"3 - 11","gender":"Co-ed","telephone":"01332 340505","website":"http:\/\/www.emmanuelschoolderby.org.uk\/","distance_to":3.3369065248899656,"standardisedType":"Independent (Co-ed Day)","standardisedPhase":"3 - 11"},{"id":303,"url":"http:\/\/www.derbyhigh.derby.sch.uk","name":"Derby High School","lat":"52.90402000","lng":"-1.51588800","postcode":"DE23 3DT","type":"Day","ages":"3 - 18","gender":"Co-ed","telephone":"01332 514267","website":"http:\/\/www.derbyhigh.derby.sch.uk","distance_to":4.799430833558319,"standardisedType":"Independent (Co-ed Day)","standardisedPhase":"3 - 18"},{"id":302,"url":"http:\/\/www.derbygrammar.org","name":"Derby Grammar School","lat":"52.89485000","lng":"-1.52751000","postcode":"DE23 4BX","type":"Day","ages":"5 - 18","gender":"Co-ed","telephone":"01332 523027","website":"http:\/\/www.derbygrammar.org","distance_to":5.472866096534858,"standardisedType":"Independent (Co-ed Day)","standardisedPhase":"5 - 18"},{"id":479,"url":"http:\/\/www.hollygirt.co.uk","name":"Hollygirt School","lat":"52.96370000","lng":"-1.14999900","postcode":"NG3 4GF","type":"Day","ages":"3 - 16","gender":"Co-ed","telephone":"0115 958 0596","website":"http:\/\/www.hollygirt.co.uk","distance_to":10.99166574676349,"standardisedType":"Independent (Co-ed Day)","standardisedPhase":"3 - 16"},{"id":366,"url":"http:\/\/s:\/\/lesfairfield.org\/","name":"Fairfield Preparatory School","lat":"52.77020000","lng":"-1.20385700","postcode":"LE11 2AE","type":"Day","ages":"3 - 11","gender":"Co-ed","telephone":"01509 215172","website":"http:\/\/s:\/\/lesfairfield.org\/","distance_to":13.6319762620406,"standardisedType":"Independent (Co-ed Day)","standardisedPhase":"3 - 11"}]}},"process_time":"1.06"} </t>
  </si>
  <si>
    <t>Politics</t>
  </si>
  <si>
    <t>Valuation Query</t>
  </si>
  <si>
    <t>key</t>
  </si>
  <si>
    <t>Your API key</t>
  </si>
  <si>
    <t>Required</t>
  </si>
  <si>
    <t>postcode</t>
  </si>
  <si>
    <t>A full UK postcode</t>
  </si>
  <si>
    <t>property_type</t>
  </si>
  <si>
    <t>Property type (list)</t>
  </si>
  <si>
    <t>construction_date</t>
  </si>
  <si>
    <t>Construction date (list)</t>
  </si>
  <si>
    <t>internal_area</t>
  </si>
  <si>
    <t>Internal area in square feet</t>
  </si>
  <si>
    <t>bedrooms</t>
  </si>
  <si>
    <t>Number of bedrooms (0-5)</t>
  </si>
  <si>
    <t>bathrooms</t>
  </si>
  <si>
    <t>Number of bathrooms (0-5)</t>
  </si>
  <si>
    <t>finish_quality</t>
  </si>
  <si>
    <t>Interior finish quality (list)</t>
  </si>
  <si>
    <t>outdoor_space</t>
  </si>
  <si>
    <t>Outdoor space (list)</t>
  </si>
  <si>
    <t>off_street_parking</t>
  </si>
  <si>
    <t>Off-street parking spaces (0-3)</t>
  </si>
  <si>
    <t>Council Tax</t>
  </si>
  <si>
    <t>Flood Risk</t>
  </si>
  <si>
    <t>https://api.propertydata.co.uk/politics?key=TTNJRKZWJA&amp;postcode=</t>
  </si>
  <si>
    <t>Postcode key Stats</t>
  </si>
  <si>
    <t>north_east</t>
  </si>
  <si>
    <t>north_west</t>
  </si>
  <si>
    <t>west_midlands</t>
  </si>
  <si>
    <t>east_of_england</t>
  </si>
  <si>
    <t>greater_london</t>
  </si>
  <si>
    <t>south_east</t>
  </si>
  <si>
    <t>south_west</t>
  </si>
  <si>
    <t>wales</t>
  </si>
  <si>
    <t>scotland</t>
  </si>
  <si>
    <t>northern_ireland</t>
  </si>
  <si>
    <t>TTNJRKZWJA</t>
  </si>
  <si>
    <t>API KEY</t>
  </si>
  <si>
    <t>Query</t>
  </si>
  <si>
    <t>Data Required</t>
  </si>
  <si>
    <t>flat</t>
  </si>
  <si>
    <t>detached_house</t>
  </si>
  <si>
    <t>terraced_house</t>
  </si>
  <si>
    <t>semi-detached_house</t>
  </si>
  <si>
    <t>pre_1914</t>
  </si>
  <si>
    <t>1914_2000</t>
  </si>
  <si>
    <t>2000_onwards</t>
  </si>
  <si>
    <t>very_high</t>
  </si>
  <si>
    <t>high</t>
  </si>
  <si>
    <t>average</t>
  </si>
  <si>
    <t>below_average</t>
  </si>
  <si>
    <t>unmodernised</t>
  </si>
  <si>
    <t>none</t>
  </si>
  <si>
    <t>balcony_terrace</t>
  </si>
  <si>
    <t>garden</t>
  </si>
  <si>
    <t>garden_very_large</t>
  </si>
  <si>
    <t>Beds</t>
  </si>
  <si>
    <t>Baths</t>
  </si>
  <si>
    <t>Finish Qual</t>
  </si>
  <si>
    <t>Outdoor Space</t>
  </si>
  <si>
    <t>Off Street Parking</t>
  </si>
  <si>
    <t>Internal Area</t>
  </si>
  <si>
    <t>Property Type</t>
  </si>
  <si>
    <t>Construction Date</t>
  </si>
  <si>
    <t>Internal area in square fee</t>
  </si>
  <si>
    <t>Size</t>
  </si>
  <si>
    <t>Small terrace</t>
  </si>
  <si>
    <t>Large Terrace</t>
  </si>
  <si>
    <t>Flat</t>
  </si>
  <si>
    <t>Bungalow</t>
  </si>
  <si>
    <t>Sizes</t>
  </si>
  <si>
    <t>Bed/Baths</t>
  </si>
  <si>
    <t>Parking</t>
  </si>
  <si>
    <t>Rent Valuation</t>
  </si>
  <si>
    <t>Property Valuation</t>
  </si>
  <si>
    <t>Rental Valuation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</si>
</sst>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>
    <font>
      <sz val="11"/>
      <color rgb="FF000000"/>
      <name val="Calibri"/>
      <family val="2"/>
    </font>
    <font>
      <u/>
      <sz val="11"/>
      <color rgb="FF0563C1"/>
      <name val="Calibri"/>
      <family val="2"/>
    </font>
    <font>
      <sz val="7"/>
      <color rgb="FF000000"/>
      <name val="Segoe UI"/>
      <family val="2"/>
    </font>
    <font>
      <sz val="10"/>
      <color rgb="FF777777"/>
      <name val="Arial Unicode MS"/>
    </font>
    <font>
      <b/>
      <sz val="7"/>
      <color rgb="FF000000"/>
      <name val="Segoe UI"/>
      <family val="2"/>
    </font>
    <font>
      <b/>
      <sz val="8"/>
      <color rgb="FF000000"/>
      <name val="Segoe UI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2">
    <xf numFmtId="0" fontId="0" fillId="0" borderId="0" xfId="0"/>
    <xf numFmtId="0" fontId="2" fillId="0" borderId="0" xfId="0" applyFont="1" applyAlignment="1">
      <alignment horizontal="left" vertical="center" wrapText="1" indent="1"/>
    </xf>
    <xf numFmtId="0" fontId="0" fillId="0" borderId="0" xfId="0" applyFill="1"/>
    <xf numFmtId="0" fontId="1" fillId="0" borderId="0" xfId="1" applyFont="1" applyAlignment="1">
      <alignment horizontal="left" vertical="center" indent="1"/>
    </xf>
    <xf numFmtId="0" fontId="3" fillId="0" borderId="0" xfId="0" applyFont="1" applyAlignment="1">
      <alignment horizontal="left" vertical="center" indent="1"/>
    </xf>
    <xf numFmtId="0" fontId="4" fillId="0" borderId="1" xfId="0" applyFont="1" applyBorder="1" applyAlignment="1">
      <alignment vertical="center" wrapText="1"/>
    </xf>
    <xf numFmtId="0" fontId="2" fillId="0" borderId="1" xfId="0" applyFont="1" applyBorder="1" applyAlignment="1">
      <alignment vertical="center" wrapText="1"/>
    </xf>
    <xf numFmtId="0" fontId="1" fillId="0" borderId="1" xfId="1" applyFont="1" applyBorder="1" applyAlignment="1">
      <alignment vertical="center" wrapText="1"/>
    </xf>
    <xf numFmtId="0" fontId="1" fillId="0" borderId="0" xfId="1" applyAlignment="1">
      <alignment horizontal="left" vertical="center" indent="1"/>
    </xf>
    <xf numFmtId="0" fontId="5" fillId="0" borderId="0" xfId="0" applyFont="1" applyAlignment="1">
      <alignment vertical="center" wrapText="1"/>
    </xf>
    <xf numFmtId="0" fontId="0" fillId="0" borderId="2" xfId="0" applyBorder="1"/>
    <xf numFmtId="0" fontId="0" fillId="0" borderId="3" xfId="0" applyBorder="1"/>
    <xf numFmtId="0" fontId="0" fillId="0" borderId="5" xfId="0" applyBorder="1"/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0" fillId="0" borderId="0" xfId="0" applyFill="1" applyBorder="1"/>
    <xf numFmtId="0" fontId="2" fillId="0" borderId="0" xfId="0" applyFont="1"/>
    <xf numFmtId="0" fontId="0" fillId="0" borderId="0" xfId="0" applyAlignment="1">
      <alignment horizontal="left"/>
    </xf>
    <xf numFmtId="0" fontId="0" fillId="0" borderId="4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9" xfId="0" applyBorder="1" applyAlignment="1">
      <alignment horizontal="left"/>
    </xf>
  </cellXfs>
  <cellStyles count="2">
    <cellStyle name="Hyperlink" xfId="1"/>
    <cellStyle name="Normal" xfId="0" builtinId="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336550</xdr:colOff>
          <xdr:row>11</xdr:row>
          <xdr:rowOff>88900</xdr:rowOff>
        </xdr:from>
        <xdr:to>
          <xdr:col>7</xdr:col>
          <xdr:colOff>619125</xdr:colOff>
          <xdr:row>16</xdr:row>
          <xdr:rowOff>31750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6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onnection1" connectionId="1" autoFormatId="0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propertydata.co.uk/api/documentation/valuation-options" TargetMode="External"/><Relationship Id="rId2" Type="http://schemas.openxmlformats.org/officeDocument/2006/relationships/hyperlink" Target="https://propertydata.co.uk/api/documentation/valuation-options" TargetMode="External"/><Relationship Id="rId1" Type="http://schemas.openxmlformats.org/officeDocument/2006/relationships/hyperlink" Target="https://propertydata.co.uk/api/documentation/valuation-options" TargetMode="External"/><Relationship Id="rId5" Type="http://schemas.openxmlformats.org/officeDocument/2006/relationships/queryTable" Target="../queryTables/queryTable1.xml"/><Relationship Id="rId4" Type="http://schemas.openxmlformats.org/officeDocument/2006/relationships/hyperlink" Target="https://propertydata.co.uk/api/documentation/valuation-options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api.propertydata.co.uk/prices?key=TTNJRKZWJA&amp;postcode=W149JH&amp;bedrooms=2" TargetMode="External"/><Relationship Id="rId7" Type="http://schemas.openxmlformats.org/officeDocument/2006/relationships/ctrlProp" Target="../ctrlProps/ctrlProp1.xml"/><Relationship Id="rId2" Type="http://schemas.openxmlformats.org/officeDocument/2006/relationships/hyperlink" Target="https://api.propertydata.co.uk/valuation-rent?key=&amp;&amp;postcode=OX41YB&amp;internal_area=828&amp;property_type=flat&amp;construction_date=pre_1914&amp;bedrooms=3&amp;bathrooms=1&amp;finish_quality=below_average&amp;outdoor_space=garden&amp;off_street_parking=0" TargetMode="External"/><Relationship Id="rId1" Type="http://schemas.openxmlformats.org/officeDocument/2006/relationships/hyperlink" Target="https://api.propertydata.co.uk/council-tax?key=TTNJRKZWJA&amp;postcode=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hyperlink" Target="https://api.propertydata.co.uk/flood-risk?key=TTNJRKZWJA&amp;postcode=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21"/>
  <sheetViews>
    <sheetView workbookViewId="0">
      <selection activeCell="B11" sqref="B11"/>
    </sheetView>
  </sheetViews>
  <sheetFormatPr defaultRowHeight="14.5"/>
  <cols>
    <col min="1" max="1" width="16.6328125" bestFit="1" customWidth="1"/>
    <col min="2" max="2" width="255.6328125" bestFit="1" customWidth="1"/>
    <col min="3" max="3" width="9.6328125" customWidth="1"/>
    <col min="4" max="4" width="8.7265625" customWidth="1"/>
  </cols>
  <sheetData>
    <row r="1" spans="1:12" ht="21">
      <c r="B1" t="s">
        <v>0</v>
      </c>
      <c r="C1" s="1" t="s">
        <v>1</v>
      </c>
    </row>
    <row r="2" spans="1:12">
      <c r="A2" t="s">
        <v>2</v>
      </c>
      <c r="B2" s="2" t="s">
        <v>3</v>
      </c>
    </row>
    <row r="3" spans="1:12">
      <c r="A3" t="s">
        <v>4</v>
      </c>
      <c r="B3" s="2" t="s">
        <v>5</v>
      </c>
    </row>
    <row r="4" spans="1:12">
      <c r="A4" t="s">
        <v>6</v>
      </c>
      <c r="B4" s="2" t="s">
        <v>7</v>
      </c>
    </row>
    <row r="5" spans="1:12">
      <c r="A5" t="s">
        <v>8</v>
      </c>
      <c r="B5" s="2" t="s">
        <v>9</v>
      </c>
      <c r="G5" s="3"/>
    </row>
    <row r="6" spans="1:12">
      <c r="A6" t="s">
        <v>10</v>
      </c>
      <c r="B6" s="2" t="s">
        <v>11</v>
      </c>
      <c r="G6" s="3"/>
    </row>
    <row r="7" spans="1:12">
      <c r="A7" t="s">
        <v>12</v>
      </c>
      <c r="B7" s="2" t="s">
        <v>13</v>
      </c>
      <c r="G7" s="3"/>
    </row>
    <row r="8" spans="1:12">
      <c r="A8" t="s">
        <v>14</v>
      </c>
      <c r="B8" s="2" t="s">
        <v>15</v>
      </c>
      <c r="G8" s="3"/>
    </row>
    <row r="9" spans="1:12">
      <c r="A9" t="s">
        <v>16</v>
      </c>
      <c r="B9" s="2"/>
      <c r="G9" s="3"/>
      <c r="L9" s="4"/>
    </row>
    <row r="10" spans="1:12">
      <c r="B10" s="2"/>
      <c r="G10" s="3"/>
      <c r="L10" s="4"/>
    </row>
    <row r="11" spans="1:12" thickBot="1">
      <c r="A11" t="s">
        <v>17</v>
      </c>
      <c r="B11" s="2"/>
      <c r="G11" s="3"/>
      <c r="L11" s="3"/>
    </row>
    <row r="12" spans="1:12" thickBot="1">
      <c r="A12" s="5" t="s">
        <v>18</v>
      </c>
      <c r="B12" s="6" t="s">
        <v>19</v>
      </c>
      <c r="C12" s="6" t="s">
        <v>20</v>
      </c>
    </row>
    <row r="13" spans="1:12" thickBot="1">
      <c r="A13" s="5" t="s">
        <v>21</v>
      </c>
      <c r="B13" s="6" t="s">
        <v>22</v>
      </c>
      <c r="C13" s="6" t="s">
        <v>20</v>
      </c>
    </row>
    <row r="14" spans="1:12" thickBot="1">
      <c r="A14" s="5" t="s">
        <v>23</v>
      </c>
      <c r="B14" s="7" t="s">
        <v>24</v>
      </c>
      <c r="C14" s="6" t="s">
        <v>20</v>
      </c>
    </row>
    <row r="15" spans="1:12" thickBot="1">
      <c r="A15" s="5" t="s">
        <v>25</v>
      </c>
      <c r="B15" s="7" t="s">
        <v>26</v>
      </c>
      <c r="C15" s="6" t="s">
        <v>20</v>
      </c>
    </row>
    <row r="16" spans="1:12" thickBot="1">
      <c r="A16" s="5" t="s">
        <v>27</v>
      </c>
      <c r="B16" s="6" t="s">
        <v>28</v>
      </c>
      <c r="C16" s="6" t="s">
        <v>20</v>
      </c>
    </row>
    <row r="17" spans="1:3" thickBot="1">
      <c r="A17" s="5" t="s">
        <v>29</v>
      </c>
      <c r="B17" s="6" t="s">
        <v>30</v>
      </c>
      <c r="C17" s="6" t="s">
        <v>20</v>
      </c>
    </row>
    <row r="18" spans="1:3" thickBot="1">
      <c r="A18" s="5" t="s">
        <v>31</v>
      </c>
      <c r="B18" s="6" t="s">
        <v>32</v>
      </c>
      <c r="C18" s="6" t="s">
        <v>20</v>
      </c>
    </row>
    <row r="19" spans="1:3" thickBot="1">
      <c r="A19" s="5" t="s">
        <v>33</v>
      </c>
      <c r="B19" s="7" t="s">
        <v>34</v>
      </c>
      <c r="C19" s="6" t="s">
        <v>20</v>
      </c>
    </row>
    <row r="20" spans="1:3" thickBot="1">
      <c r="A20" s="5" t="s">
        <v>35</v>
      </c>
      <c r="B20" s="7" t="s">
        <v>36</v>
      </c>
      <c r="C20" s="6" t="s">
        <v>20</v>
      </c>
    </row>
    <row r="21" spans="1:3" thickBot="1">
      <c r="A21" s="5" t="s">
        <v>37</v>
      </c>
      <c r="B21" s="6" t="s">
        <v>38</v>
      </c>
      <c r="C21" s="6" t="s">
        <v>20</v>
      </c>
    </row>
  </sheetData>
  <hyperlinks>
    <hyperlink ref="B14" r:id="rId1"/>
    <hyperlink ref="B15" r:id="rId2"/>
    <hyperlink ref="B19" r:id="rId3"/>
    <hyperlink ref="B20" r:id="rId4"/>
  </hyperlinks>
  <pageMargins left="0.70000000000000007" right="0.70000000000000007" top="0.75" bottom="0.75" header="0.30000000000000004" footer="0.3000000000000000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22"/>
  <sheetViews>
    <sheetView tabSelected="1" zoomScale="80" zoomScaleNormal="80" workbookViewId="0">
      <selection activeCell="F19" sqref="F19"/>
    </sheetView>
  </sheetViews>
  <sheetFormatPr defaultRowHeight="14.5"/>
  <cols>
    <col min="1" max="1" width="16.7265625" bestFit="1" customWidth="1"/>
    <col min="2" max="3" width="16.1796875" customWidth="1"/>
    <col min="4" max="4" width="16.1796875" style="18" customWidth="1"/>
    <col min="5" max="5" width="8.1796875" style="18" customWidth="1"/>
    <col min="6" max="9" width="16.1796875" customWidth="1"/>
  </cols>
  <sheetData>
    <row r="1" spans="1:10">
      <c r="A1" t="s">
        <v>55</v>
      </c>
      <c r="B1" t="s">
        <v>56</v>
      </c>
      <c r="C1" t="s">
        <v>54</v>
      </c>
    </row>
    <row r="2" spans="1:10">
      <c r="A2" t="s">
        <v>39</v>
      </c>
      <c r="B2" t="s">
        <v>0</v>
      </c>
      <c r="C2" t="s">
        <v>53</v>
      </c>
      <c r="F2" s="8" t="str">
        <f>"URL;https://api.propertydata.co.uk/council-tax?key="&amp;C2&amp;"&amp;postcode="&amp;B2</f>
        <v>URL;https://api.propertydata.co.uk/council-tax?key=TTNJRKZWJA&amp;postcode=DE217AP</v>
      </c>
    </row>
    <row r="3" spans="1:10">
      <c r="A3" t="s">
        <v>40</v>
      </c>
      <c r="B3" t="s">
        <v>0</v>
      </c>
      <c r="C3" t="s">
        <v>53</v>
      </c>
      <c r="F3" s="8" t="str">
        <f>"URL;https://api.propertydata.co.uk/flood-risk?key="&amp;C3&amp;"&amp;postcode="&amp;B3</f>
        <v>URL;https://api.propertydata.co.uk/flood-risk?key=TTNJRKZWJA&amp;postcode=DE217AP</v>
      </c>
    </row>
    <row r="4" spans="1:10">
      <c r="A4" t="s">
        <v>16</v>
      </c>
      <c r="B4" t="s">
        <v>0</v>
      </c>
      <c r="C4" t="s">
        <v>53</v>
      </c>
      <c r="F4" s="4" t="s">
        <v>41</v>
      </c>
    </row>
    <row r="5" spans="1:10">
      <c r="A5" t="s">
        <v>42</v>
      </c>
      <c r="B5" t="s">
        <v>44</v>
      </c>
      <c r="C5" t="s">
        <v>53</v>
      </c>
      <c r="F5" s="4" t="str">
        <f>"https://api.propertydata.co.uk/postcode-key-stats?key="&amp;C5&amp;"region="&amp;B5</f>
        <v>https://api.propertydata.co.uk/postcode-key-stats?key=TTNJRKZWJAregion=north_west</v>
      </c>
    </row>
    <row r="6" spans="1:10">
      <c r="A6" t="s">
        <v>40</v>
      </c>
      <c r="B6" t="s">
        <v>0</v>
      </c>
      <c r="C6" t="s">
        <v>53</v>
      </c>
      <c r="F6" s="4" t="str">
        <f>"https://api.propertydata.co.uk/flood-risk?key="&amp;C6&amp;"&amp;postcode="&amp;B6</f>
        <v>https://api.propertydata.co.uk/flood-risk?key=TTNJRKZWJA&amp;postcode=DE217AP</v>
      </c>
    </row>
    <row r="7" spans="1:10">
      <c r="A7" t="s">
        <v>91</v>
      </c>
      <c r="B7" t="s">
        <v>0</v>
      </c>
      <c r="C7" t="s">
        <v>53</v>
      </c>
      <c r="F7" s="8" t="str">
        <f>"https://api.propertydata.co.uk/prices?key="&amp;C6&amp;"&amp;postcode="&amp;B6&amp;"&amp;bedrooms="&amp;D18</f>
        <v>https://api.propertydata.co.uk/prices?key=TTNJRKZWJA&amp;postcode=DE217AP&amp;bedrooms=3</v>
      </c>
    </row>
    <row r="8" spans="1:10">
      <c r="A8" t="s">
        <v>92</v>
      </c>
      <c r="B8" t="s">
        <v>0</v>
      </c>
      <c r="C8" t="s">
        <v>53</v>
      </c>
      <c r="F8" s="8" t="str">
        <f>"https://api.propertydata.co.uk/valuation-rent?key="&amp;C5&amp;"&amp;postcode="&amp;B15&amp;"&amp;internal_area="&amp;E17&amp;"&amp;property_type="&amp;D15&amp;"&amp;construction_date="&amp;D16&amp;"&amp;bedrooms="&amp;D18&amp;"&amp;bathrooms="&amp;D19&amp;"&amp;finish_quality="&amp;D20&amp;"&amp;outdoor_space="&amp;D21&amp;"&amp;off_street_parking="&amp;D22</f>
        <v>https://api.propertydata.co.uk/valuation-rent?key=TTNJRKZWJA&amp;postcode=DE217AP&amp;internal_area=656&amp;property_type=flat&amp;construction_date=pre_1914&amp;bedrooms=3&amp;bathrooms=1&amp;finish_quality=below_average&amp;outdoor_space=garden&amp;off_street_parking=0</v>
      </c>
    </row>
    <row r="13" spans="1:10">
      <c r="J13" s="8"/>
    </row>
    <row r="14" spans="1:10" ht="15" thickBot="1"/>
    <row r="15" spans="1:10">
      <c r="A15" s="10" t="s">
        <v>90</v>
      </c>
      <c r="B15" s="11" t="s">
        <v>0</v>
      </c>
      <c r="C15" s="11" t="s">
        <v>79</v>
      </c>
      <c r="D15" s="19" t="s">
        <v>57</v>
      </c>
    </row>
    <row r="16" spans="1:10">
      <c r="A16" s="12"/>
      <c r="B16" s="13"/>
      <c r="C16" s="16" t="s">
        <v>80</v>
      </c>
      <c r="D16" s="20" t="s">
        <v>61</v>
      </c>
    </row>
    <row r="17" spans="1:5">
      <c r="A17" s="12"/>
      <c r="B17" s="17" t="s">
        <v>81</v>
      </c>
      <c r="C17" s="13" t="s">
        <v>78</v>
      </c>
      <c r="D17" s="20" t="s">
        <v>85</v>
      </c>
      <c r="E17" s="18">
        <f>VLOOKUP(D17,Sheet2!G1:H6,2,FALSE)</f>
        <v>656</v>
      </c>
    </row>
    <row r="18" spans="1:5">
      <c r="A18" s="12"/>
      <c r="B18" s="13"/>
      <c r="C18" s="13" t="s">
        <v>73</v>
      </c>
      <c r="D18" s="20">
        <v>3</v>
      </c>
    </row>
    <row r="19" spans="1:5">
      <c r="A19" s="12"/>
      <c r="B19" s="13"/>
      <c r="C19" s="13" t="s">
        <v>74</v>
      </c>
      <c r="D19" s="20">
        <v>1</v>
      </c>
    </row>
    <row r="20" spans="1:5">
      <c r="A20" s="12"/>
      <c r="B20" s="13"/>
      <c r="C20" s="16" t="s">
        <v>75</v>
      </c>
      <c r="D20" s="20" t="s">
        <v>67</v>
      </c>
    </row>
    <row r="21" spans="1:5">
      <c r="A21" s="12"/>
      <c r="B21" s="13"/>
      <c r="C21" s="16" t="s">
        <v>76</v>
      </c>
      <c r="D21" s="20" t="s">
        <v>71</v>
      </c>
    </row>
    <row r="22" spans="1:5" ht="15" thickBot="1">
      <c r="A22" s="14"/>
      <c r="B22" s="15"/>
      <c r="C22" s="15" t="s">
        <v>77</v>
      </c>
      <c r="D22" s="21">
        <v>0</v>
      </c>
    </row>
  </sheetData>
  <hyperlinks>
    <hyperlink ref="F2" r:id="rId1" display="https://api.propertydata.co.uk/council-tax?key=TTNJRKZWJA&amp;postcode="/>
    <hyperlink ref="F8" r:id="rId2" display="https://api.propertydata.co.uk/valuation-rent?key=&amp;&amp;postcode=OX41YB&amp;internal_area=828&amp;property_type=flat&amp;construction_date=pre_1914&amp;bedrooms=3&amp;bathrooms=1&amp;finish_quality=below_average&amp;outdoor_space=garden&amp;off_street_parking=0"/>
    <hyperlink ref="F7" r:id="rId3" display="https://api.propertydata.co.uk/prices?key=TTNJRKZWJA&amp;postcode=W149JH&amp;bedrooms=2"/>
    <hyperlink ref="F3" r:id="rId4" display="https://api.propertydata.co.uk/flood-risk?key=TTNJRKZWJA&amp;postcode="/>
  </hyperlinks>
  <pageMargins left="0.7" right="0.7" top="0.75" bottom="0.75" header="0.3" footer="0.3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Macro3">
                <anchor moveWithCells="1">
                  <from>
                    <xdr:col>6</xdr:col>
                    <xdr:colOff>336550</xdr:colOff>
                    <xdr:row>11</xdr:row>
                    <xdr:rowOff>88900</xdr:rowOff>
                  </from>
                  <to>
                    <xdr:col>7</xdr:col>
                    <xdr:colOff>622300</xdr:colOff>
                    <xdr:row>16</xdr:row>
                    <xdr:rowOff>31750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>
          <x14:formula1>
            <xm:f>Sheet2!$A$1:$A$11</xm:f>
          </x14:formula1>
          <xm:sqref>B5</xm:sqref>
        </x14:dataValidation>
        <x14:dataValidation type="list" allowBlank="1" showInputMessage="1" showErrorMessage="1">
          <x14:formula1>
            <xm:f>Sheet2!$C$1:$C$5</xm:f>
          </x14:formula1>
          <xm:sqref>D15</xm:sqref>
        </x14:dataValidation>
        <x14:dataValidation type="list" allowBlank="1" showInputMessage="1" showErrorMessage="1">
          <x14:formula1>
            <xm:f>Sheet2!$D$1:$D$4</xm:f>
          </x14:formula1>
          <xm:sqref>D16</xm:sqref>
        </x14:dataValidation>
        <x14:dataValidation type="list" allowBlank="1" showInputMessage="1" showErrorMessage="1">
          <x14:formula1>
            <xm:f>Sheet2!$E$1:$E$6</xm:f>
          </x14:formula1>
          <xm:sqref>D20</xm:sqref>
        </x14:dataValidation>
        <x14:dataValidation type="list" allowBlank="1" showInputMessage="1" showErrorMessage="1">
          <x14:formula1>
            <xm:f>Sheet2!$F$1:$F$5</xm:f>
          </x14:formula1>
          <xm:sqref>D21</xm:sqref>
        </x14:dataValidation>
        <x14:dataValidation type="list" allowBlank="1" showInputMessage="1" showErrorMessage="1">
          <x14:formula1>
            <xm:f>Sheet2!$G$1:$G$7</xm:f>
          </x14:formula1>
          <xm:sqref>D17</xm:sqref>
        </x14:dataValidation>
        <x14:dataValidation type="list" allowBlank="1" showInputMessage="1" showErrorMessage="1">
          <x14:formula1>
            <xm:f>Sheet2!$I$1:$I$6</xm:f>
          </x14:formula1>
          <xm:sqref>D18:D19</xm:sqref>
        </x14:dataValidation>
        <x14:dataValidation type="list" allowBlank="1" showInputMessage="1" showErrorMessage="1">
          <x14:formula1>
            <xm:f>Sheet2!$J$1:$J$5</xm:f>
          </x14:formula1>
          <xm:sqref>D22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1"/>
  <sheetViews>
    <sheetView workbookViewId="0">
      <selection activeCell="J8" sqref="J8"/>
    </sheetView>
  </sheetViews>
  <sheetFormatPr defaultRowHeight="14.5"/>
  <cols>
    <col min="1" max="1" width="8.54296875" bestFit="1" customWidth="1"/>
    <col min="3" max="6" width="16.453125" customWidth="1"/>
    <col min="7" max="7" width="19.36328125" bestFit="1" customWidth="1"/>
  </cols>
  <sheetData>
    <row r="1" spans="1:10">
      <c r="A1" s="1" t="s">
        <v>43</v>
      </c>
      <c r="C1" s="9" t="s">
        <v>23</v>
      </c>
      <c r="D1" s="9" t="s">
        <v>25</v>
      </c>
      <c r="E1" s="9" t="s">
        <v>33</v>
      </c>
      <c r="F1" s="9" t="s">
        <v>35</v>
      </c>
      <c r="G1" s="9" t="s">
        <v>82</v>
      </c>
      <c r="H1" s="9" t="s">
        <v>87</v>
      </c>
      <c r="I1" s="9" t="s">
        <v>88</v>
      </c>
      <c r="J1" s="9" t="s">
        <v>89</v>
      </c>
    </row>
    <row r="2" spans="1:10">
      <c r="A2" s="1" t="s">
        <v>44</v>
      </c>
      <c r="C2" s="1" t="s">
        <v>57</v>
      </c>
      <c r="D2" s="1" t="s">
        <v>61</v>
      </c>
      <c r="E2" s="1" t="s">
        <v>64</v>
      </c>
      <c r="F2" s="1" t="s">
        <v>69</v>
      </c>
      <c r="G2" s="1" t="s">
        <v>83</v>
      </c>
      <c r="H2" s="1">
        <v>688</v>
      </c>
      <c r="I2" s="1">
        <v>1</v>
      </c>
      <c r="J2" s="9">
        <v>0</v>
      </c>
    </row>
    <row r="3" spans="1:10" ht="21">
      <c r="A3" s="1" t="s">
        <v>1</v>
      </c>
      <c r="C3" s="1" t="s">
        <v>58</v>
      </c>
      <c r="D3" s="1" t="s">
        <v>62</v>
      </c>
      <c r="E3" s="1" t="s">
        <v>65</v>
      </c>
      <c r="F3" s="1" t="s">
        <v>70</v>
      </c>
      <c r="G3" s="1" t="s">
        <v>84</v>
      </c>
      <c r="H3" s="1">
        <v>1087</v>
      </c>
      <c r="I3" s="1">
        <v>2</v>
      </c>
      <c r="J3">
        <v>1</v>
      </c>
    </row>
    <row r="4" spans="1:10" ht="21">
      <c r="A4" s="1" t="s">
        <v>45</v>
      </c>
      <c r="C4" s="1" t="s">
        <v>59</v>
      </c>
      <c r="D4" s="1" t="s">
        <v>63</v>
      </c>
      <c r="E4" s="1" t="s">
        <v>66</v>
      </c>
      <c r="F4" s="1" t="s">
        <v>71</v>
      </c>
      <c r="G4" s="1" t="str">
        <f>C5</f>
        <v>semi-detached_house</v>
      </c>
      <c r="H4" s="1">
        <v>1033</v>
      </c>
      <c r="I4" s="1">
        <v>3</v>
      </c>
      <c r="J4">
        <v>2</v>
      </c>
    </row>
    <row r="5" spans="1:10" ht="21">
      <c r="A5" s="1" t="s">
        <v>46</v>
      </c>
      <c r="C5" s="1" t="s">
        <v>60</v>
      </c>
      <c r="E5" s="1" t="s">
        <v>67</v>
      </c>
      <c r="F5" s="1" t="s">
        <v>72</v>
      </c>
      <c r="G5" s="1" t="str">
        <f>C3</f>
        <v>detached_house</v>
      </c>
      <c r="H5" s="1">
        <v>1582</v>
      </c>
      <c r="I5" s="1">
        <v>4</v>
      </c>
      <c r="J5">
        <v>3</v>
      </c>
    </row>
    <row r="6" spans="1:10" ht="21">
      <c r="A6" s="1" t="s">
        <v>47</v>
      </c>
      <c r="E6" s="1" t="s">
        <v>68</v>
      </c>
      <c r="G6" s="1" t="s">
        <v>85</v>
      </c>
      <c r="H6" s="1">
        <v>656</v>
      </c>
      <c r="I6" s="1">
        <v>5</v>
      </c>
    </row>
    <row r="7" spans="1:10">
      <c r="A7" s="1" t="s">
        <v>48</v>
      </c>
      <c r="G7" s="1" t="s">
        <v>86</v>
      </c>
      <c r="H7" s="1">
        <v>828</v>
      </c>
      <c r="I7" s="1"/>
    </row>
    <row r="8" spans="1:10">
      <c r="A8" s="1" t="s">
        <v>49</v>
      </c>
      <c r="G8" s="1"/>
      <c r="H8" s="1"/>
      <c r="I8" s="1"/>
    </row>
    <row r="9" spans="1:10">
      <c r="A9" s="1" t="s">
        <v>50</v>
      </c>
    </row>
    <row r="10" spans="1:10">
      <c r="A10" s="1" t="s">
        <v>51</v>
      </c>
    </row>
    <row r="11" spans="1:10" ht="21">
      <c r="A11" s="1" t="s">
        <v>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21</vt:i4>
      </vt:variant>
    </vt:vector>
  </HeadingPairs>
  <TitlesOfParts>
    <vt:vector size="24" baseType="lpstr">
      <vt:lpstr>API</vt:lpstr>
      <vt:lpstr>Sheet1</vt:lpstr>
      <vt:lpstr>Sheet2</vt:lpstr>
      <vt:lpstr>API!Connection1</vt:lpstr>
      <vt:lpstr>API!ExternalData_1</vt:lpstr>
      <vt:lpstr>API!ExternalData_10</vt:lpstr>
      <vt:lpstr>API!ExternalData_11</vt:lpstr>
      <vt:lpstr>API!ExternalData_12</vt:lpstr>
      <vt:lpstr>API!ExternalData_13</vt:lpstr>
      <vt:lpstr>API!ExternalData_14</vt:lpstr>
      <vt:lpstr>API!ExternalData_15</vt:lpstr>
      <vt:lpstr>API!ExternalData_16</vt:lpstr>
      <vt:lpstr>API!ExternalData_17</vt:lpstr>
      <vt:lpstr>API!ExternalData_18</vt:lpstr>
      <vt:lpstr>API!ExternalData_19</vt:lpstr>
      <vt:lpstr>API!ExternalData_2</vt:lpstr>
      <vt:lpstr>API!ExternalData_20</vt:lpstr>
      <vt:lpstr>API!ExternalData_3</vt:lpstr>
      <vt:lpstr>API!ExternalData_4</vt:lpstr>
      <vt:lpstr>API!ExternalData_5</vt:lpstr>
      <vt:lpstr>API!ExternalData_6</vt:lpstr>
      <vt:lpstr>API!ExternalData_7</vt:lpstr>
      <vt:lpstr>API!ExternalData_8</vt:lpstr>
      <vt:lpstr>API!ExternalData_9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markm</dc:creator>
  <cp:lastModifiedBy>Mark Martin</cp:lastModifiedBy>
  <dcterms:created xsi:type="dcterms:W3CDTF">2021-02-05T10:45:49Z</dcterms:created>
  <dcterms:modified xsi:type="dcterms:W3CDTF">2021-02-05T20:37:24Z</dcterms:modified>
</cp:coreProperties>
</file>